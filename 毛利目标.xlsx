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 activeTab="6"/>
  </bookViews>
  <sheets>
    <sheet name="6月温州" sheetId="5" r:id="rId1"/>
    <sheet name="6月合肥" sheetId="6" r:id="rId2"/>
    <sheet name="6月芜湖" sheetId="7" r:id="rId3"/>
    <sheet name="6月赣州" sheetId="8" r:id="rId4"/>
    <sheet name="6月吉安" sheetId="9" r:id="rId5"/>
    <sheet name="6月上饶" sheetId="10" r:id="rId6"/>
    <sheet name="6月衡阳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<sst xmlns="http://schemas.openxmlformats.org/spreadsheetml/2006/main" count="406" uniqueCount="41">
  <si>
    <t>温州市（总毛利）</t>
  </si>
  <si>
    <t>毛利目标</t>
  </si>
  <si>
    <t>毛利达成进度</t>
  </si>
  <si>
    <t>单均毛利</t>
  </si>
  <si>
    <t>发单量</t>
  </si>
  <si>
    <t>完单量</t>
  </si>
  <si>
    <t>订单GMV</t>
  </si>
  <si>
    <r>
      <rPr>
        <b/>
        <sz val="11"/>
        <color rgb="FFFF0000"/>
        <rFont val="仿宋"/>
        <charset val="134"/>
      </rPr>
      <t xml:space="preserve"> </t>
    </r>
    <r>
      <rPr>
        <b/>
        <sz val="11"/>
        <color rgb="FFFF0000"/>
        <rFont val="仿宋"/>
        <charset val="134"/>
      </rPr>
      <t>毛利率</t>
    </r>
    <r>
      <rPr>
        <b/>
        <sz val="11"/>
        <color rgb="FFFF0000"/>
        <rFont val="仿宋"/>
        <charset val="134"/>
      </rPr>
      <t xml:space="preserve"> </t>
    </r>
  </si>
  <si>
    <t>特惠占比</t>
  </si>
  <si>
    <t>订单平台抽成</t>
  </si>
  <si>
    <t>渠道活动补贴</t>
  </si>
  <si>
    <t>免佣卡收益</t>
  </si>
  <si>
    <t>第三方抽佣</t>
  </si>
  <si>
    <t>高德抽佣</t>
  </si>
  <si>
    <t>独补</t>
  </si>
  <si>
    <t>独补补贴率</t>
  </si>
  <si>
    <t>共补</t>
  </si>
  <si>
    <t>共补补贴率</t>
  </si>
  <si>
    <t>C补</t>
  </si>
  <si>
    <t>C补补贴率</t>
  </si>
  <si>
    <t>平台免佣GMV</t>
  </si>
  <si>
    <t>平台免佣GMV占比</t>
  </si>
  <si>
    <t>免佣订单占比</t>
  </si>
  <si>
    <t>减免GMV</t>
  </si>
  <si>
    <t>减免GMV占比</t>
  </si>
  <si>
    <t>SP免佣成本</t>
  </si>
  <si>
    <t>SP免佣补贴率</t>
  </si>
  <si>
    <t>均值</t>
  </si>
  <si>
    <t>周一</t>
  </si>
  <si>
    <t>周二</t>
  </si>
  <si>
    <t>周三</t>
  </si>
  <si>
    <t>周四</t>
  </si>
  <si>
    <t>周五</t>
  </si>
  <si>
    <t>周六</t>
  </si>
  <si>
    <t>周日</t>
  </si>
  <si>
    <t>合肥市（总毛利）</t>
  </si>
  <si>
    <t>芜湖市（总毛利）</t>
  </si>
  <si>
    <t>赣州市（总毛利）</t>
  </si>
  <si>
    <t>吉安市（总毛利）</t>
  </si>
  <si>
    <t>上饶市（总毛利）</t>
  </si>
  <si>
    <t>衡阳市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</si>
</sst>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_);[Red]\(\¥#,##0\)"/>
    <numFmt numFmtId="177" formatCode="\¥#,##0.00_);[Red]\(\¥#,##0.00\)"/>
    <numFmt numFmtId="178" formatCode="0_);[Red]\(0\)"/>
    <numFmt numFmtId="179" formatCode="_ \¥* #,##0.00_ ;_ \¥* \-#,##0.00_ ;_ \¥* &quot;-&quot;??_ ;_ @_ "/>
    <numFmt numFmtId="180" formatCode="0\.0000&quot;万&quot;"/>
    <numFmt numFmtId="181" formatCode="m/d;@"/>
    <numFmt numFmtId="182" formatCode="m&quot;月&quot;d&quot;日&quot;;@"/>
    <numFmt numFmtId="183" formatCode="0.00_);[Red]\(0.00\)"/>
  </numFmts>
  <fonts count="3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FF0000"/>
      <name val="仿宋"/>
      <charset val="134"/>
    </font>
    <font>
      <b/>
      <sz val="11"/>
      <color rgb="FF000000"/>
      <name val="Segoe UI Symbol"/>
      <charset val="0"/>
    </font>
    <font>
      <b/>
      <sz val="11"/>
      <color rgb="FF000000"/>
      <name val="仿宋"/>
      <charset val="134"/>
    </font>
    <font>
      <b/>
      <sz val="11"/>
      <color rgb="FFC91D32"/>
      <name val="仿宋"/>
      <charset val="134"/>
    </font>
    <font>
      <sz val="11"/>
      <color rgb="FF000000"/>
      <name val="仿宋"/>
      <charset val="134"/>
    </font>
    <font>
      <b/>
      <sz val="11"/>
      <color rgb="FF000000"/>
      <name val="宋体"/>
      <charset val="134"/>
    </font>
    <font>
      <b/>
      <sz val="11"/>
      <name val="仿宋"/>
      <charset val="134"/>
    </font>
    <font>
      <sz val="11"/>
      <name val="仿宋"/>
      <charset val="134"/>
    </font>
    <font>
      <sz val="11"/>
      <color rgb="FF9C0006"/>
      <name val="仿宋"/>
      <charset val="134"/>
    </font>
    <font>
      <sz val="11"/>
      <color rgb="FFC00000"/>
      <name val="仿宋"/>
      <charset val="134"/>
    </font>
    <font>
      <sz val="11"/>
      <color rgb="FFFF0000"/>
      <name val="仿宋"/>
      <charset val="134"/>
    </font>
    <font>
      <sz val="11"/>
      <color rgb="FF00B05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ADD88D"/>
        <bgColor rgb="FF000000"/>
      </patternFill>
    </fill>
    <fill>
      <patternFill patternType="solid">
        <fgColor rgb="FFE3F2D9"/>
        <bgColor rgb="FF000000"/>
      </patternFill>
    </fill>
    <fill>
      <patternFill patternType="solid">
        <fgColor rgb="FFFADADE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176" fontId="3" fillId="2" borderId="0" xfId="0" applyNumberFormat="1" applyFont="1" applyFill="1" applyAlignment="1">
      <alignment horizontal="center"/>
    </xf>
    <xf numFmtId="177" fontId="2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78" fontId="4" fillId="2" borderId="0" xfId="0" applyNumberFormat="1" applyFont="1" applyFill="1" applyAlignment="1">
      <alignment horizontal="center"/>
    </xf>
    <xf numFmtId="179" fontId="2" fillId="2" borderId="0" xfId="0" applyNumberFormat="1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10" fontId="4" fillId="3" borderId="0" xfId="0" applyNumberFormat="1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76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center" vertical="center"/>
    </xf>
    <xf numFmtId="10" fontId="6" fillId="0" borderId="0" xfId="0" applyNumberFormat="1" applyFont="1" applyFill="1" applyAlignment="1">
      <alignment horizontal="center"/>
    </xf>
    <xf numFmtId="177" fontId="4" fillId="0" borderId="1" xfId="0" applyNumberFormat="1" applyFont="1" applyFill="1" applyBorder="1" applyAlignment="1">
      <alignment horizontal="center" vertical="center"/>
    </xf>
    <xf numFmtId="180" fontId="4" fillId="0" borderId="0" xfId="0" applyNumberFormat="1" applyFont="1" applyFill="1" applyAlignment="1">
      <alignment horizontal="center"/>
    </xf>
    <xf numFmtId="10" fontId="6" fillId="0" borderId="1" xfId="0" applyNumberFormat="1" applyFont="1" applyFill="1" applyBorder="1" applyAlignment="1">
      <alignment horizontal="center" vertical="center"/>
    </xf>
    <xf numFmtId="180" fontId="8" fillId="4" borderId="0" xfId="0" applyNumberFormat="1" applyFont="1" applyFill="1" applyAlignment="1">
      <alignment horizontal="center"/>
    </xf>
    <xf numFmtId="180" fontId="8" fillId="5" borderId="0" xfId="0" applyNumberFormat="1" applyFont="1" applyFill="1" applyAlignment="1">
      <alignment horizontal="center"/>
    </xf>
    <xf numFmtId="176" fontId="9" fillId="0" borderId="0" xfId="0" applyNumberFormat="1" applyFont="1" applyFill="1" applyAlignment="1">
      <alignment horizontal="center"/>
    </xf>
    <xf numFmtId="10" fontId="4" fillId="0" borderId="1" xfId="0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/>
    </xf>
    <xf numFmtId="176" fontId="6" fillId="0" borderId="2" xfId="0" applyNumberFormat="1" applyFont="1" applyFill="1" applyBorder="1" applyAlignment="1">
      <alignment horizontal="center"/>
    </xf>
    <xf numFmtId="180" fontId="6" fillId="0" borderId="2" xfId="0" applyNumberFormat="1" applyFont="1" applyFill="1" applyBorder="1" applyAlignment="1">
      <alignment horizontal="center"/>
    </xf>
    <xf numFmtId="180" fontId="9" fillId="4" borderId="2" xfId="0" applyNumberFormat="1" applyFont="1" applyFill="1" applyBorder="1" applyAlignment="1">
      <alignment horizontal="center"/>
    </xf>
    <xf numFmtId="180" fontId="9" fillId="5" borderId="2" xfId="0" applyNumberFormat="1" applyFont="1" applyFill="1" applyBorder="1" applyAlignment="1">
      <alignment horizontal="center"/>
    </xf>
    <xf numFmtId="181" fontId="6" fillId="0" borderId="0" xfId="0" applyNumberFormat="1" applyFont="1" applyFill="1" applyAlignment="1">
      <alignment horizontal="center"/>
    </xf>
    <xf numFmtId="182" fontId="6" fillId="0" borderId="0" xfId="0" applyNumberFormat="1" applyFont="1" applyFill="1" applyAlignment="1">
      <alignment horizontal="center"/>
    </xf>
    <xf numFmtId="177" fontId="6" fillId="0" borderId="0" xfId="0" applyNumberFormat="1" applyFont="1" applyFill="1" applyAlignment="1">
      <alignment horizontal="center"/>
    </xf>
    <xf numFmtId="3" fontId="6" fillId="0" borderId="0" xfId="0" applyNumberFormat="1" applyFont="1" applyFill="1" applyAlignment="1">
      <alignment horizontal="center"/>
    </xf>
    <xf numFmtId="3" fontId="9" fillId="4" borderId="0" xfId="0" applyNumberFormat="1" applyFont="1" applyFill="1" applyAlignment="1">
      <alignment horizontal="center"/>
    </xf>
    <xf numFmtId="183" fontId="6" fillId="4" borderId="0" xfId="0" applyNumberFormat="1" applyFont="1" applyFill="1" applyAlignment="1">
      <alignment horizontal="center"/>
    </xf>
    <xf numFmtId="3" fontId="6" fillId="4" borderId="0" xfId="0" applyNumberFormat="1" applyFont="1" applyFill="1" applyAlignment="1">
      <alignment horizontal="center"/>
    </xf>
    <xf numFmtId="183" fontId="6" fillId="3" borderId="0" xfId="0" applyNumberFormat="1" applyFont="1" applyFill="1" applyAlignment="1">
      <alignment horizontal="center"/>
    </xf>
    <xf numFmtId="183" fontId="6" fillId="0" borderId="0" xfId="0" applyNumberFormat="1" applyFont="1" applyFill="1" applyAlignment="1">
      <alignment horizontal="center"/>
    </xf>
    <xf numFmtId="176" fontId="9" fillId="3" borderId="0" xfId="0" applyNumberFormat="1" applyFont="1" applyFill="1" applyAlignment="1">
      <alignment horizontal="center"/>
    </xf>
    <xf numFmtId="10" fontId="10" fillId="0" borderId="0" xfId="0" applyNumberFormat="1" applyFont="1" applyFill="1" applyAlignment="1">
      <alignment horizontal="center"/>
    </xf>
    <xf numFmtId="3" fontId="11" fillId="0" borderId="0" xfId="0" applyNumberFormat="1" applyFont="1" applyFill="1" applyAlignment="1">
      <alignment horizontal="center"/>
    </xf>
    <xf numFmtId="176" fontId="12" fillId="0" borderId="0" xfId="0" applyNumberFormat="1" applyFont="1" applyFill="1" applyAlignment="1">
      <alignment horizontal="center"/>
    </xf>
    <xf numFmtId="177" fontId="12" fillId="0" borderId="0" xfId="0" applyNumberFormat="1" applyFont="1" applyFill="1" applyAlignment="1">
      <alignment horizontal="center"/>
    </xf>
    <xf numFmtId="3" fontId="13" fillId="0" borderId="0" xfId="0" applyNumberFormat="1" applyFont="1" applyFill="1" applyAlignment="1">
      <alignment horizontal="center"/>
    </xf>
    <xf numFmtId="10" fontId="11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11.3307692307692" defaultRowHeight="14.5"/>
  <cols>
    <col min="1" max="1" width="16.8923076923077" style="1" customWidth="1"/>
    <col min="2" max="16384" width="11.3307692307692" style="1"/>
  </cols>
  <sheetData>
    <row r="1" spans="1:27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10" t="s">
        <v>13</v>
      </c>
      <c r="O1" s="8" t="s">
        <v>14</v>
      </c>
      <c r="P1" s="11" t="s">
        <v>15</v>
      </c>
      <c r="Q1" s="8" t="s">
        <v>16</v>
      </c>
      <c r="R1" s="11" t="s">
        <v>17</v>
      </c>
      <c r="S1" s="8" t="s">
        <v>18</v>
      </c>
      <c r="T1" s="11" t="s">
        <v>19</v>
      </c>
      <c r="U1" s="5" t="s">
        <v>20</v>
      </c>
      <c r="V1" s="10" t="s">
        <v>21</v>
      </c>
      <c r="W1" s="6" t="s">
        <v>22</v>
      </c>
      <c r="X1" s="10" t="s">
        <v>23</v>
      </c>
      <c r="Y1" s="10" t="s">
        <v>24</v>
      </c>
      <c r="Z1" s="5" t="s">
        <v>25</v>
      </c>
      <c r="AA1" s="11" t="s">
        <v>26</v>
      </c>
    </row>
    <row r="2" ht="19.5" customHeight="1" spans="1:27">
      <c r="A2" s="12">
        <v>120918</v>
      </c>
      <c r="B2" s="13">
        <v>120000</v>
      </c>
      <c r="C2" s="14">
        <v>1.0077</v>
      </c>
      <c r="D2" s="15">
        <v>0.4</v>
      </c>
      <c r="E2" s="16">
        <f t="shared" ref="E2:G2" si="0">SUM(E4:E33)</f>
        <v>6231575</v>
      </c>
      <c r="F2" s="16">
        <f t="shared" si="0"/>
        <v>321791</v>
      </c>
      <c r="G2" s="16">
        <f t="shared" si="0"/>
        <v>5219382</v>
      </c>
      <c r="H2" s="17">
        <f>AVERAGE(H4:H33)</f>
        <v>0.0245566666666667</v>
      </c>
      <c r="I2" s="17">
        <f>AVERAGE(I4:I33)</f>
        <v>0.342819230769231</v>
      </c>
      <c r="J2" s="18">
        <f t="shared" ref="J2:O2" si="1">SUM(J4:J33)</f>
        <v>726110</v>
      </c>
      <c r="K2" s="18">
        <f t="shared" si="1"/>
        <v>70896.43</v>
      </c>
      <c r="L2" s="18">
        <f t="shared" si="1"/>
        <v>381872</v>
      </c>
      <c r="M2" s="19">
        <f t="shared" si="1"/>
        <v>730960.49</v>
      </c>
      <c r="N2" s="19">
        <f t="shared" si="1"/>
        <v>728844.09</v>
      </c>
      <c r="O2" s="19">
        <f t="shared" si="1"/>
        <v>13414</v>
      </c>
      <c r="P2" s="17">
        <f t="shared" ref="P2:T2" si="2">AVERAGE(P4:P33)</f>
        <v>0.00254</v>
      </c>
      <c r="Q2" s="20">
        <f t="shared" ref="Q2:U2" si="3">SUM(Q4:Q33)</f>
        <v>93196</v>
      </c>
      <c r="R2" s="17">
        <f t="shared" si="2"/>
        <v>0.0183433333333333</v>
      </c>
      <c r="S2" s="20">
        <f t="shared" si="3"/>
        <v>136430</v>
      </c>
      <c r="T2" s="17">
        <f t="shared" si="2"/>
        <v>0.0274933333333333</v>
      </c>
      <c r="U2" s="16">
        <f t="shared" si="3"/>
        <v>2897431</v>
      </c>
      <c r="V2" s="17">
        <f t="shared" ref="V2:Y2" si="4">AVERAGE(V4:V33)</f>
        <v>0.55581</v>
      </c>
      <c r="W2" s="21">
        <f t="shared" si="4"/>
        <v>0.569403333333333</v>
      </c>
      <c r="X2" s="16">
        <f>SUM(X4:X33)</f>
        <v>538565</v>
      </c>
      <c r="Y2" s="17">
        <f t="shared" si="4"/>
        <v>0.09464</v>
      </c>
      <c r="Z2" s="20">
        <f>SUM(Z4:Z33)</f>
        <v>405640</v>
      </c>
      <c r="AA2" s="17">
        <f>AVERAGE(AA4:AA33)</f>
        <v>0.0778133333333333</v>
      </c>
    </row>
    <row r="3" ht="19.5" customHeight="1" spans="1:27">
      <c r="A3" s="22" t="s">
        <v>27</v>
      </c>
      <c r="B3" s="22"/>
      <c r="C3" s="23">
        <v>4327</v>
      </c>
      <c r="D3" s="15"/>
      <c r="E3" s="24">
        <f t="shared" ref="E3:G3" si="5">AVERAGE(E4:E33)</f>
        <v>207719.166666667</v>
      </c>
      <c r="F3" s="24">
        <f t="shared" si="5"/>
        <v>10726.3666666667</v>
      </c>
      <c r="G3" s="24">
        <f t="shared" si="5"/>
        <v>173979.4</v>
      </c>
      <c r="H3" s="17"/>
      <c r="I3" s="17"/>
      <c r="J3" s="25">
        <f t="shared" ref="J3:O3" si="6">AVERAGE(J4:J33)</f>
        <v>24203.6666666667</v>
      </c>
      <c r="K3" s="25">
        <f t="shared" si="6"/>
        <v>2363.21433333333</v>
      </c>
      <c r="L3" s="25">
        <f t="shared" si="6"/>
        <v>12729.0666666667</v>
      </c>
      <c r="M3" s="26">
        <f t="shared" si="6"/>
        <v>24365.3496666667</v>
      </c>
      <c r="N3" s="26">
        <f t="shared" si="6"/>
        <v>24294.803</v>
      </c>
      <c r="O3" s="23">
        <f t="shared" si="6"/>
        <v>447.133333333333</v>
      </c>
      <c r="P3" s="17"/>
      <c r="Q3" s="23">
        <f t="shared" ref="Q3:U3" si="7">AVERAGE(Q4:Q33)</f>
        <v>3106.53333333333</v>
      </c>
      <c r="R3" s="17"/>
      <c r="S3" s="23">
        <f t="shared" si="7"/>
        <v>4547.66666666667</v>
      </c>
      <c r="T3" s="17"/>
      <c r="U3" s="24">
        <f t="shared" si="7"/>
        <v>96581.0333333333</v>
      </c>
      <c r="V3" s="17"/>
      <c r="W3" s="21"/>
      <c r="X3" s="24">
        <f>AVERAGE(X4:X33)</f>
        <v>17952.1666666667</v>
      </c>
      <c r="Y3" s="17"/>
      <c r="Z3" s="23">
        <f>AVERAGE(Z4:Z33)</f>
        <v>13521.3333333333</v>
      </c>
      <c r="AA3" s="17"/>
    </row>
    <row r="4" spans="1:27">
      <c r="A4" s="27">
        <v>46174</v>
      </c>
      <c r="B4" s="28" t="s">
        <v>28</v>
      </c>
      <c r="C4" s="39">
        <v>-747</v>
      </c>
      <c r="D4" s="40">
        <v>-0.06</v>
      </c>
      <c r="E4" s="30">
        <v>290940</v>
      </c>
      <c r="F4" s="30">
        <v>11938</v>
      </c>
      <c r="G4" s="30">
        <v>203955</v>
      </c>
      <c r="H4" s="14">
        <v>-0.0037</v>
      </c>
      <c r="I4" s="14">
        <v>0.2168</v>
      </c>
      <c r="J4" s="31">
        <v>28369</v>
      </c>
      <c r="K4" s="32">
        <v>2078.47</v>
      </c>
      <c r="L4" s="33">
        <v>12590</v>
      </c>
      <c r="M4" s="34">
        <v>28569.2</v>
      </c>
      <c r="N4" s="35">
        <v>28513.99</v>
      </c>
      <c r="O4" s="36">
        <v>171</v>
      </c>
      <c r="P4" s="14">
        <v>0.0008</v>
      </c>
      <c r="Q4" s="36">
        <v>6272</v>
      </c>
      <c r="R4" s="37">
        <v>0.0308</v>
      </c>
      <c r="S4" s="36">
        <v>5699</v>
      </c>
      <c r="T4" s="37">
        <v>0.0279</v>
      </c>
      <c r="U4" s="30">
        <v>113506</v>
      </c>
      <c r="V4" s="37">
        <v>0.5559</v>
      </c>
      <c r="W4" s="14">
        <v>0.5605</v>
      </c>
      <c r="X4" s="30">
        <v>16493</v>
      </c>
      <c r="Y4" s="14">
        <v>0.0809</v>
      </c>
      <c r="Z4" s="20">
        <v>15891</v>
      </c>
      <c r="AA4" s="37">
        <v>0.0778</v>
      </c>
    </row>
    <row r="5" spans="1:27">
      <c r="A5" s="27">
        <v>46175</v>
      </c>
      <c r="B5" s="28" t="s">
        <v>29</v>
      </c>
      <c r="C5" s="20">
        <v>4608</v>
      </c>
      <c r="D5" s="29">
        <v>0.53</v>
      </c>
      <c r="E5" s="30">
        <v>136659</v>
      </c>
      <c r="F5" s="30">
        <v>8760</v>
      </c>
      <c r="G5" s="30">
        <v>144226</v>
      </c>
      <c r="H5" s="14">
        <v>0.032</v>
      </c>
      <c r="I5" s="14">
        <v>0.3191</v>
      </c>
      <c r="J5" s="31">
        <v>20907</v>
      </c>
      <c r="K5" s="32">
        <v>1675.77</v>
      </c>
      <c r="L5" s="33">
        <v>12268</v>
      </c>
      <c r="M5" s="34">
        <v>20190</v>
      </c>
      <c r="N5" s="35">
        <v>20110.97</v>
      </c>
      <c r="O5" s="36">
        <v>326</v>
      </c>
      <c r="P5" s="37">
        <v>0.0023</v>
      </c>
      <c r="Q5" s="36">
        <v>2980</v>
      </c>
      <c r="R5" s="37">
        <v>0.0207</v>
      </c>
      <c r="S5" s="36">
        <v>4492</v>
      </c>
      <c r="T5" s="37">
        <v>0.0311</v>
      </c>
      <c r="U5" s="30">
        <v>77348</v>
      </c>
      <c r="V5" s="14">
        <v>0.5363</v>
      </c>
      <c r="W5" s="14">
        <v>0.5473</v>
      </c>
      <c r="X5" s="30">
        <v>13932</v>
      </c>
      <c r="Y5" s="14">
        <v>0.0966</v>
      </c>
      <c r="Z5" s="20">
        <v>10829</v>
      </c>
      <c r="AA5" s="14">
        <v>0.0751</v>
      </c>
    </row>
    <row r="6" spans="1:27">
      <c r="A6" s="27">
        <v>46176</v>
      </c>
      <c r="B6" s="28" t="s">
        <v>30</v>
      </c>
      <c r="C6" s="20">
        <v>4572</v>
      </c>
      <c r="D6" s="29">
        <v>0.53</v>
      </c>
      <c r="E6" s="30">
        <v>125638</v>
      </c>
      <c r="F6" s="30">
        <v>8684</v>
      </c>
      <c r="G6" s="30">
        <v>138384</v>
      </c>
      <c r="H6" s="14">
        <v>0.033</v>
      </c>
      <c r="I6" s="14">
        <v>0.3209</v>
      </c>
      <c r="J6" s="31">
        <v>20333</v>
      </c>
      <c r="K6" s="32">
        <v>1511.77</v>
      </c>
      <c r="L6" s="33">
        <v>12557</v>
      </c>
      <c r="M6" s="34">
        <v>19347.3</v>
      </c>
      <c r="N6" s="35">
        <v>19329.02</v>
      </c>
      <c r="O6" s="36">
        <v>155</v>
      </c>
      <c r="P6" s="37">
        <v>0.0011</v>
      </c>
      <c r="Q6" s="36">
        <v>3680</v>
      </c>
      <c r="R6" s="37">
        <v>0.0266</v>
      </c>
      <c r="S6" s="36">
        <v>4447</v>
      </c>
      <c r="T6" s="37">
        <v>0.0321</v>
      </c>
      <c r="U6" s="30">
        <v>75692</v>
      </c>
      <c r="V6" s="37">
        <v>0.547</v>
      </c>
      <c r="W6" s="14">
        <v>0.5606</v>
      </c>
      <c r="X6" s="30">
        <v>12593</v>
      </c>
      <c r="Y6" s="14">
        <v>0.091</v>
      </c>
      <c r="Z6" s="20">
        <v>10597</v>
      </c>
      <c r="AA6" s="37">
        <v>0.0766</v>
      </c>
    </row>
    <row r="7" spans="1:27">
      <c r="A7" s="27">
        <v>46177</v>
      </c>
      <c r="B7" s="28" t="s">
        <v>31</v>
      </c>
      <c r="C7" s="20">
        <v>6012</v>
      </c>
      <c r="D7" s="29">
        <v>0.69</v>
      </c>
      <c r="E7" s="38">
        <v>125485</v>
      </c>
      <c r="F7" s="30">
        <v>8750</v>
      </c>
      <c r="G7" s="30">
        <v>138728</v>
      </c>
      <c r="H7" s="14">
        <v>0.0433</v>
      </c>
      <c r="I7" s="14">
        <v>0.3261</v>
      </c>
      <c r="J7" s="31">
        <v>20515</v>
      </c>
      <c r="K7" s="32">
        <v>1544.31</v>
      </c>
      <c r="L7" s="33">
        <v>12288</v>
      </c>
      <c r="M7" s="34">
        <v>19417.8</v>
      </c>
      <c r="N7" s="35">
        <v>19393.82</v>
      </c>
      <c r="O7" s="36">
        <v>146</v>
      </c>
      <c r="P7" s="14">
        <v>0.0011</v>
      </c>
      <c r="Q7" s="36">
        <v>1595</v>
      </c>
      <c r="R7" s="37">
        <v>0.0115</v>
      </c>
      <c r="S7" s="36">
        <v>4957</v>
      </c>
      <c r="T7" s="37">
        <v>0.0357</v>
      </c>
      <c r="U7" s="30">
        <v>75356</v>
      </c>
      <c r="V7" s="14">
        <v>0.5432</v>
      </c>
      <c r="W7" s="14">
        <v>0.5583</v>
      </c>
      <c r="X7" s="30">
        <v>12508</v>
      </c>
      <c r="Y7" s="14">
        <v>0.0902</v>
      </c>
      <c r="Z7" s="20">
        <v>10550</v>
      </c>
      <c r="AA7" s="14">
        <v>0.076</v>
      </c>
    </row>
    <row r="8" spans="1:27">
      <c r="A8" s="27">
        <v>46178</v>
      </c>
      <c r="B8" s="28" t="s">
        <v>32</v>
      </c>
      <c r="C8" s="20">
        <v>5414</v>
      </c>
      <c r="D8" s="29">
        <v>0.53</v>
      </c>
      <c r="E8" s="30">
        <v>182349</v>
      </c>
      <c r="F8" s="30">
        <v>10260</v>
      </c>
      <c r="G8" s="30">
        <v>170170</v>
      </c>
      <c r="H8" s="14">
        <v>0.0318</v>
      </c>
      <c r="I8" s="14">
        <v>0.267</v>
      </c>
      <c r="J8" s="31">
        <v>24706</v>
      </c>
      <c r="K8" s="32">
        <v>1456.08</v>
      </c>
      <c r="L8" s="33">
        <v>12907</v>
      </c>
      <c r="M8" s="34">
        <v>23782.1</v>
      </c>
      <c r="N8" s="35">
        <v>23764.75</v>
      </c>
      <c r="O8" s="36">
        <v>16</v>
      </c>
      <c r="P8" s="14">
        <v>0.0001</v>
      </c>
      <c r="Q8" s="36">
        <v>1692</v>
      </c>
      <c r="R8" s="37">
        <v>0.0099</v>
      </c>
      <c r="S8" s="36">
        <v>5528</v>
      </c>
      <c r="T8" s="37">
        <v>0.0325</v>
      </c>
      <c r="U8" s="30">
        <v>94137</v>
      </c>
      <c r="V8" s="37">
        <v>0.5531</v>
      </c>
      <c r="W8" s="14">
        <v>0.5706</v>
      </c>
      <c r="X8" s="30">
        <v>11802</v>
      </c>
      <c r="Y8" s="14">
        <v>0.0694</v>
      </c>
      <c r="Z8" s="20">
        <v>13179</v>
      </c>
      <c r="AA8" s="37">
        <v>0.0774</v>
      </c>
    </row>
    <row r="9" spans="1:27">
      <c r="A9" s="27">
        <v>46179</v>
      </c>
      <c r="B9" s="28" t="s">
        <v>33</v>
      </c>
      <c r="C9" s="20">
        <v>7704</v>
      </c>
      <c r="D9" s="29">
        <v>0.85</v>
      </c>
      <c r="E9" s="30">
        <v>163085</v>
      </c>
      <c r="F9" s="30">
        <v>9093</v>
      </c>
      <c r="G9" s="30">
        <v>145250</v>
      </c>
      <c r="H9" s="14">
        <v>0.053</v>
      </c>
      <c r="I9" s="14">
        <v>0.4011</v>
      </c>
      <c r="J9" s="31">
        <v>22701</v>
      </c>
      <c r="K9" s="32">
        <v>187.82</v>
      </c>
      <c r="L9" s="33">
        <v>12473</v>
      </c>
      <c r="M9" s="34">
        <v>20348.6</v>
      </c>
      <c r="N9" s="35">
        <v>20328.6</v>
      </c>
      <c r="O9" s="36">
        <v>327</v>
      </c>
      <c r="P9" s="37">
        <v>0.0023</v>
      </c>
      <c r="Q9" s="36">
        <v>1882</v>
      </c>
      <c r="R9" s="37">
        <v>0.013</v>
      </c>
      <c r="S9" s="36">
        <v>2806</v>
      </c>
      <c r="T9" s="14">
        <v>0.0193</v>
      </c>
      <c r="U9" s="30">
        <v>83746</v>
      </c>
      <c r="V9" s="37">
        <v>0.5763</v>
      </c>
      <c r="W9" s="14">
        <v>0.5958</v>
      </c>
      <c r="X9" s="30">
        <v>1385</v>
      </c>
      <c r="Y9" s="14">
        <v>0.0095</v>
      </c>
      <c r="Z9" s="20">
        <v>11724</v>
      </c>
      <c r="AA9" s="37">
        <v>0.0807</v>
      </c>
    </row>
    <row r="10" spans="1:27">
      <c r="A10" s="27">
        <v>46180</v>
      </c>
      <c r="B10" s="28" t="s">
        <v>34</v>
      </c>
      <c r="C10" s="20">
        <v>6506</v>
      </c>
      <c r="D10" s="29">
        <v>0.65</v>
      </c>
      <c r="E10" s="30">
        <v>243196</v>
      </c>
      <c r="F10" s="30">
        <v>10038</v>
      </c>
      <c r="G10" s="30">
        <v>164174</v>
      </c>
      <c r="H10" s="14">
        <v>0.0396</v>
      </c>
      <c r="I10" s="14">
        <v>0.2962</v>
      </c>
      <c r="J10" s="31">
        <v>23961</v>
      </c>
      <c r="K10" s="32">
        <v>1526.72</v>
      </c>
      <c r="L10" s="33">
        <v>12465</v>
      </c>
      <c r="M10" s="34">
        <v>23012.66</v>
      </c>
      <c r="N10" s="35">
        <v>22962.25</v>
      </c>
      <c r="O10" s="36">
        <v>318</v>
      </c>
      <c r="P10" s="37">
        <v>0.0019</v>
      </c>
      <c r="Q10" s="36">
        <v>2630</v>
      </c>
      <c r="R10" s="37">
        <v>0.016</v>
      </c>
      <c r="S10" s="36">
        <v>2927</v>
      </c>
      <c r="T10" s="14">
        <v>0.0178</v>
      </c>
      <c r="U10" s="30">
        <v>92375</v>
      </c>
      <c r="V10" s="37">
        <v>0.562</v>
      </c>
      <c r="W10" s="14">
        <v>0.5747</v>
      </c>
      <c r="X10" s="30">
        <v>11257</v>
      </c>
      <c r="Y10" s="14">
        <v>0.0686</v>
      </c>
      <c r="Z10" s="20">
        <v>12932</v>
      </c>
      <c r="AA10" s="37">
        <v>0.0787</v>
      </c>
    </row>
    <row r="11" spans="1:27">
      <c r="A11" s="27">
        <v>46181</v>
      </c>
      <c r="B11" s="28" t="s">
        <v>28</v>
      </c>
      <c r="C11" s="20">
        <v>4414</v>
      </c>
      <c r="D11" s="29">
        <v>0.45</v>
      </c>
      <c r="E11" s="30">
        <v>212854</v>
      </c>
      <c r="F11" s="30">
        <v>9803</v>
      </c>
      <c r="G11" s="30">
        <v>156191</v>
      </c>
      <c r="H11" s="14">
        <v>0.0282</v>
      </c>
      <c r="I11" s="14">
        <v>0.2743</v>
      </c>
      <c r="J11" s="31">
        <v>23705</v>
      </c>
      <c r="K11" s="32">
        <v>2045.63</v>
      </c>
      <c r="L11" s="33">
        <v>11659</v>
      </c>
      <c r="M11" s="34">
        <v>21885.23</v>
      </c>
      <c r="N11" s="35">
        <v>21852.63</v>
      </c>
      <c r="O11" s="36">
        <v>97</v>
      </c>
      <c r="P11" s="14">
        <v>0.0006</v>
      </c>
      <c r="Q11" s="36">
        <v>2469</v>
      </c>
      <c r="R11" s="37">
        <v>0.0158</v>
      </c>
      <c r="S11" s="36">
        <v>6075</v>
      </c>
      <c r="T11" s="37">
        <v>0.0389</v>
      </c>
      <c r="U11" s="30">
        <v>79574</v>
      </c>
      <c r="V11" s="14">
        <v>0.5088</v>
      </c>
      <c r="W11" s="14">
        <v>0.5217</v>
      </c>
      <c r="X11" s="30">
        <v>16236</v>
      </c>
      <c r="Y11" s="37">
        <v>0.104</v>
      </c>
      <c r="Z11" s="20">
        <v>11140</v>
      </c>
      <c r="AA11" s="14">
        <v>0.0712</v>
      </c>
    </row>
    <row r="12" spans="1:27">
      <c r="A12" s="27">
        <v>46182</v>
      </c>
      <c r="B12" s="28" t="s">
        <v>29</v>
      </c>
      <c r="C12" s="20">
        <v>3196</v>
      </c>
      <c r="D12" s="29">
        <v>0.32</v>
      </c>
      <c r="E12" s="30">
        <v>179283</v>
      </c>
      <c r="F12" s="30">
        <v>9887</v>
      </c>
      <c r="G12" s="30">
        <v>151744</v>
      </c>
      <c r="H12" s="14">
        <v>0.021</v>
      </c>
      <c r="I12" s="14">
        <v>0.2899</v>
      </c>
      <c r="J12" s="31">
        <v>23658</v>
      </c>
      <c r="K12" s="32">
        <v>1949.34</v>
      </c>
      <c r="L12" s="33">
        <v>11400</v>
      </c>
      <c r="M12" s="34">
        <v>21305.92</v>
      </c>
      <c r="N12" s="35">
        <v>21283.93</v>
      </c>
      <c r="O12" s="36">
        <v>215</v>
      </c>
      <c r="P12" s="14">
        <v>0.0014</v>
      </c>
      <c r="Q12" s="36">
        <v>2758</v>
      </c>
      <c r="R12" s="37">
        <v>0.0182</v>
      </c>
      <c r="S12" s="36">
        <v>7143</v>
      </c>
      <c r="T12" s="37">
        <v>0.0471</v>
      </c>
      <c r="U12" s="30">
        <v>76807</v>
      </c>
      <c r="V12" s="14">
        <v>0.5047</v>
      </c>
      <c r="W12" s="14">
        <v>0.5116</v>
      </c>
      <c r="X12" s="30">
        <v>15880</v>
      </c>
      <c r="Y12" s="37">
        <v>0.1047</v>
      </c>
      <c r="Z12" s="20">
        <v>10753</v>
      </c>
      <c r="AA12" s="14">
        <v>0.0707</v>
      </c>
    </row>
    <row r="13" spans="1:27">
      <c r="A13" s="27">
        <v>46183</v>
      </c>
      <c r="B13" s="28" t="s">
        <v>30</v>
      </c>
      <c r="C13" s="20">
        <v>4700</v>
      </c>
      <c r="D13" s="29">
        <v>0.58</v>
      </c>
      <c r="E13" s="30">
        <v>146782</v>
      </c>
      <c r="F13" s="30">
        <v>8126</v>
      </c>
      <c r="G13" s="30">
        <v>133645</v>
      </c>
      <c r="H13" s="14">
        <v>0.0352</v>
      </c>
      <c r="I13" s="14">
        <v>0.3148</v>
      </c>
      <c r="J13" s="31">
        <v>20359</v>
      </c>
      <c r="K13" s="32">
        <v>1298.08</v>
      </c>
      <c r="L13" s="33">
        <v>11181</v>
      </c>
      <c r="M13" s="34">
        <v>18707.96</v>
      </c>
      <c r="N13" s="35">
        <v>18692.16</v>
      </c>
      <c r="O13" s="36">
        <v>75</v>
      </c>
      <c r="P13" s="14">
        <v>0.0006</v>
      </c>
      <c r="Q13" s="36">
        <v>2454</v>
      </c>
      <c r="R13" s="37">
        <v>0.0184</v>
      </c>
      <c r="S13" s="36">
        <v>4814</v>
      </c>
      <c r="T13" s="37">
        <v>0.036</v>
      </c>
      <c r="U13" s="30">
        <v>72298</v>
      </c>
      <c r="V13" s="14">
        <v>0.541</v>
      </c>
      <c r="W13" s="14">
        <v>0.5571</v>
      </c>
      <c r="X13" s="30">
        <v>10067</v>
      </c>
      <c r="Y13" s="14">
        <v>0.0753</v>
      </c>
      <c r="Z13" s="20">
        <v>10122</v>
      </c>
      <c r="AA13" s="14">
        <v>0.0757</v>
      </c>
    </row>
    <row r="14" spans="1:27">
      <c r="A14" s="27">
        <v>46184</v>
      </c>
      <c r="B14" s="28" t="s">
        <v>31</v>
      </c>
      <c r="C14" s="20">
        <v>4770</v>
      </c>
      <c r="D14" s="29">
        <v>0.58</v>
      </c>
      <c r="E14" s="30">
        <v>138339</v>
      </c>
      <c r="F14" s="30">
        <v>8214</v>
      </c>
      <c r="G14" s="30">
        <v>133185</v>
      </c>
      <c r="H14" s="14">
        <v>0.0358</v>
      </c>
      <c r="I14" s="14">
        <v>0.3399</v>
      </c>
      <c r="J14" s="31">
        <v>19890</v>
      </c>
      <c r="K14" s="32">
        <v>1431.18</v>
      </c>
      <c r="L14" s="33">
        <v>11569</v>
      </c>
      <c r="M14" s="34">
        <v>18655.41</v>
      </c>
      <c r="N14" s="35">
        <v>18615.61</v>
      </c>
      <c r="O14" s="36">
        <v>288</v>
      </c>
      <c r="P14" s="14">
        <v>0.0022</v>
      </c>
      <c r="Q14" s="36">
        <v>2386</v>
      </c>
      <c r="R14" s="37">
        <v>0.0179</v>
      </c>
      <c r="S14" s="36">
        <v>4687</v>
      </c>
      <c r="T14" s="37">
        <v>0.0352</v>
      </c>
      <c r="U14" s="30">
        <v>73242</v>
      </c>
      <c r="V14" s="14">
        <v>0.5498</v>
      </c>
      <c r="W14" s="14">
        <v>0.5604</v>
      </c>
      <c r="X14" s="30">
        <v>11505</v>
      </c>
      <c r="Y14" s="14">
        <v>0.0864</v>
      </c>
      <c r="Z14" s="20">
        <v>10254</v>
      </c>
      <c r="AA14" s="14">
        <v>0.077</v>
      </c>
    </row>
    <row r="15" spans="1:27">
      <c r="A15" s="27">
        <v>46185</v>
      </c>
      <c r="B15" s="28" t="s">
        <v>32</v>
      </c>
      <c r="C15" s="20">
        <v>5252</v>
      </c>
      <c r="D15" s="29">
        <v>0.56</v>
      </c>
      <c r="E15" s="30">
        <v>174499</v>
      </c>
      <c r="F15" s="30">
        <v>9365</v>
      </c>
      <c r="G15" s="30">
        <v>154599</v>
      </c>
      <c r="H15" s="14">
        <v>0.034</v>
      </c>
      <c r="I15" s="14">
        <v>0.3186</v>
      </c>
      <c r="J15" s="31">
        <v>23212</v>
      </c>
      <c r="K15" s="32">
        <v>1239.45</v>
      </c>
      <c r="L15" s="33">
        <v>12072</v>
      </c>
      <c r="M15" s="34">
        <v>21626.18</v>
      </c>
      <c r="N15" s="35">
        <v>21568.52</v>
      </c>
      <c r="O15" s="36">
        <v>155</v>
      </c>
      <c r="P15" s="14">
        <v>0.001</v>
      </c>
      <c r="Q15" s="36">
        <v>1564</v>
      </c>
      <c r="R15" s="14">
        <v>0.0101</v>
      </c>
      <c r="S15" s="36">
        <v>5509</v>
      </c>
      <c r="T15" s="37">
        <v>0.0356</v>
      </c>
      <c r="U15" s="30">
        <v>85723</v>
      </c>
      <c r="V15" s="14">
        <v>0.5545</v>
      </c>
      <c r="W15" s="14">
        <v>0.5733</v>
      </c>
      <c r="X15" s="30">
        <v>9955</v>
      </c>
      <c r="Y15" s="14">
        <v>0.0644</v>
      </c>
      <c r="Z15" s="20">
        <v>12001</v>
      </c>
      <c r="AA15" s="14">
        <v>0.0776</v>
      </c>
    </row>
    <row r="16" spans="1:27">
      <c r="A16" s="27">
        <v>46186</v>
      </c>
      <c r="B16" s="28" t="s">
        <v>33</v>
      </c>
      <c r="C16" s="20">
        <v>7056</v>
      </c>
      <c r="D16" s="29">
        <v>0.55</v>
      </c>
      <c r="E16" s="30">
        <v>384843</v>
      </c>
      <c r="F16" s="30">
        <v>12760</v>
      </c>
      <c r="G16" s="30">
        <v>209195</v>
      </c>
      <c r="H16" s="14">
        <v>0.0337</v>
      </c>
      <c r="I16" s="14">
        <v>0.2233</v>
      </c>
      <c r="J16" s="31">
        <v>29901</v>
      </c>
      <c r="K16" s="32">
        <v>1892.44</v>
      </c>
      <c r="L16" s="33">
        <v>12614</v>
      </c>
      <c r="M16" s="34">
        <v>29291.78</v>
      </c>
      <c r="N16" s="35">
        <v>29195.23</v>
      </c>
      <c r="O16" s="36">
        <v>200</v>
      </c>
      <c r="P16" s="14">
        <v>0.001</v>
      </c>
      <c r="Q16" s="36">
        <v>1774</v>
      </c>
      <c r="R16" s="14">
        <v>0.0085</v>
      </c>
      <c r="S16" s="36">
        <v>2821</v>
      </c>
      <c r="T16" s="14">
        <v>0.0135</v>
      </c>
      <c r="U16" s="30">
        <v>114423</v>
      </c>
      <c r="V16" s="14">
        <v>0.5467</v>
      </c>
      <c r="W16" s="14">
        <v>0.5537</v>
      </c>
      <c r="X16" s="30">
        <v>14458</v>
      </c>
      <c r="Y16" s="14">
        <v>0.0691</v>
      </c>
      <c r="Z16" s="20">
        <v>16019</v>
      </c>
      <c r="AA16" s="14">
        <v>0.0765</v>
      </c>
    </row>
    <row r="17" spans="1:27">
      <c r="A17" s="27">
        <v>46187</v>
      </c>
      <c r="B17" s="28" t="s">
        <v>34</v>
      </c>
      <c r="C17" s="20">
        <v>5037</v>
      </c>
      <c r="D17" s="29">
        <v>0.53</v>
      </c>
      <c r="E17" s="30">
        <v>173379</v>
      </c>
      <c r="F17" s="30">
        <v>9471</v>
      </c>
      <c r="G17" s="30">
        <v>149079</v>
      </c>
      <c r="H17" s="14">
        <v>0.0338</v>
      </c>
      <c r="I17" s="14">
        <v>0.3894</v>
      </c>
      <c r="J17" s="31">
        <v>21963</v>
      </c>
      <c r="K17" s="32">
        <v>333</v>
      </c>
      <c r="L17" s="33">
        <v>11707</v>
      </c>
      <c r="M17" s="34">
        <v>20873.38</v>
      </c>
      <c r="N17" s="35">
        <v>20836.93</v>
      </c>
      <c r="O17" s="36">
        <v>481</v>
      </c>
      <c r="P17" s="37">
        <v>0.0032</v>
      </c>
      <c r="Q17" s="36">
        <v>2711</v>
      </c>
      <c r="R17" s="37">
        <v>0.0182</v>
      </c>
      <c r="S17" s="36">
        <v>2509</v>
      </c>
      <c r="T17" s="14">
        <v>0.0168</v>
      </c>
      <c r="U17" s="30">
        <v>88356</v>
      </c>
      <c r="V17" s="37">
        <v>0.5926</v>
      </c>
      <c r="W17" s="14">
        <v>0.6035</v>
      </c>
      <c r="X17" s="30">
        <v>2314</v>
      </c>
      <c r="Y17" s="14">
        <v>0.0155</v>
      </c>
      <c r="Z17" s="20">
        <v>12370</v>
      </c>
      <c r="AA17" s="37">
        <v>0.083</v>
      </c>
    </row>
    <row r="18" spans="1:27">
      <c r="A18" s="27">
        <v>46188</v>
      </c>
      <c r="B18" s="28" t="s">
        <v>28</v>
      </c>
      <c r="C18" s="20">
        <v>465</v>
      </c>
      <c r="D18" s="29">
        <v>0.06</v>
      </c>
      <c r="E18" s="30">
        <v>139889</v>
      </c>
      <c r="F18" s="30">
        <v>8154</v>
      </c>
      <c r="G18" s="30">
        <v>130854</v>
      </c>
      <c r="H18" s="14">
        <v>0.0036</v>
      </c>
      <c r="I18" s="14">
        <v>0.3425</v>
      </c>
      <c r="J18" s="31">
        <v>18872</v>
      </c>
      <c r="K18" s="32">
        <v>1556.51</v>
      </c>
      <c r="L18" s="33">
        <v>11168</v>
      </c>
      <c r="M18" s="34">
        <v>18314.18</v>
      </c>
      <c r="N18" s="35">
        <v>18277.46</v>
      </c>
      <c r="O18" s="36">
        <v>546</v>
      </c>
      <c r="P18" s="37">
        <v>0.0042</v>
      </c>
      <c r="Q18" s="36">
        <v>4650</v>
      </c>
      <c r="R18" s="37">
        <v>0.0355</v>
      </c>
      <c r="S18" s="36">
        <v>5545</v>
      </c>
      <c r="T18" s="37">
        <v>0.0424</v>
      </c>
      <c r="U18" s="30">
        <v>71775</v>
      </c>
      <c r="V18" s="14">
        <v>0.5485</v>
      </c>
      <c r="W18" s="14">
        <v>0.5537</v>
      </c>
      <c r="X18" s="30">
        <v>12426</v>
      </c>
      <c r="Y18" s="14">
        <v>0.095</v>
      </c>
      <c r="Z18" s="20">
        <v>10049</v>
      </c>
      <c r="AA18" s="14">
        <v>0.0768</v>
      </c>
    </row>
    <row r="19" spans="1:27">
      <c r="A19" s="27">
        <v>46189</v>
      </c>
      <c r="B19" s="28" t="s">
        <v>29</v>
      </c>
      <c r="C19" s="20">
        <v>3394</v>
      </c>
      <c r="D19" s="29">
        <v>0.42</v>
      </c>
      <c r="E19" s="38">
        <v>134428</v>
      </c>
      <c r="F19" s="30">
        <v>8152</v>
      </c>
      <c r="G19" s="30">
        <v>128751</v>
      </c>
      <c r="H19" s="14">
        <v>0.0264</v>
      </c>
      <c r="I19" s="14">
        <v>0.3579</v>
      </c>
      <c r="J19" s="31">
        <v>19398</v>
      </c>
      <c r="K19" s="32">
        <v>1313.19</v>
      </c>
      <c r="L19" s="33">
        <v>11277</v>
      </c>
      <c r="M19" s="34">
        <v>18027.96</v>
      </c>
      <c r="N19" s="35">
        <v>18000.98</v>
      </c>
      <c r="O19" s="36">
        <v>63</v>
      </c>
      <c r="P19" s="14">
        <v>0.0005</v>
      </c>
      <c r="Q19" s="36">
        <v>2976</v>
      </c>
      <c r="R19" s="37">
        <v>0.0231</v>
      </c>
      <c r="S19" s="36">
        <v>5464</v>
      </c>
      <c r="T19" s="37">
        <v>0.0424</v>
      </c>
      <c r="U19" s="30">
        <v>66652</v>
      </c>
      <c r="V19" s="14">
        <v>0.5177</v>
      </c>
      <c r="W19" s="14">
        <v>0.5304</v>
      </c>
      <c r="X19" s="30">
        <v>10621</v>
      </c>
      <c r="Y19" s="14">
        <v>0.0825</v>
      </c>
      <c r="Z19" s="20">
        <v>9331</v>
      </c>
      <c r="AA19" s="14">
        <v>0.0725</v>
      </c>
    </row>
    <row r="20" spans="1:27">
      <c r="A20" s="27">
        <v>46190</v>
      </c>
      <c r="B20" s="28" t="s">
        <v>30</v>
      </c>
      <c r="C20" s="20">
        <v>4854</v>
      </c>
      <c r="D20" s="29">
        <v>0.53</v>
      </c>
      <c r="E20" s="30">
        <v>149725</v>
      </c>
      <c r="F20" s="30">
        <v>9118</v>
      </c>
      <c r="G20" s="30">
        <v>144670</v>
      </c>
      <c r="H20" s="14">
        <v>0.0335</v>
      </c>
      <c r="I20" s="14">
        <v>0.3077</v>
      </c>
      <c r="J20" s="31">
        <v>21339</v>
      </c>
      <c r="K20" s="32">
        <v>1425.51</v>
      </c>
      <c r="L20" s="33">
        <v>11468</v>
      </c>
      <c r="M20" s="34">
        <v>20253.52</v>
      </c>
      <c r="N20" s="35">
        <v>20224.26</v>
      </c>
      <c r="O20" s="36">
        <v>268</v>
      </c>
      <c r="P20" s="14">
        <v>0.0019</v>
      </c>
      <c r="Q20" s="36">
        <v>1488</v>
      </c>
      <c r="R20" s="14">
        <v>0.0103</v>
      </c>
      <c r="S20" s="36">
        <v>5071</v>
      </c>
      <c r="T20" s="37">
        <v>0.035</v>
      </c>
      <c r="U20" s="30">
        <v>77366</v>
      </c>
      <c r="V20" s="14">
        <v>0.5347</v>
      </c>
      <c r="W20" s="14">
        <v>0.5464</v>
      </c>
      <c r="X20" s="30">
        <v>11460</v>
      </c>
      <c r="Y20" s="14">
        <v>0.0792</v>
      </c>
      <c r="Z20" s="20">
        <v>10831</v>
      </c>
      <c r="AA20" s="14">
        <v>0.0749</v>
      </c>
    </row>
    <row r="21" spans="1:27">
      <c r="A21" s="27">
        <v>46191</v>
      </c>
      <c r="B21" s="28" t="s">
        <v>31</v>
      </c>
      <c r="C21" s="20">
        <v>6094</v>
      </c>
      <c r="D21" s="29">
        <v>0.42</v>
      </c>
      <c r="E21" s="41">
        <v>604238</v>
      </c>
      <c r="F21" s="41">
        <v>14356</v>
      </c>
      <c r="G21" s="30">
        <v>277381</v>
      </c>
      <c r="H21" s="14">
        <v>0.0219</v>
      </c>
      <c r="I21" s="14"/>
      <c r="J21" s="31">
        <v>29584</v>
      </c>
      <c r="K21" s="32">
        <v>12595.25</v>
      </c>
      <c r="L21" s="33">
        <v>12917</v>
      </c>
      <c r="M21" s="34">
        <v>38942.89</v>
      </c>
      <c r="N21" s="35">
        <v>38725.38</v>
      </c>
      <c r="O21" s="36">
        <v>151</v>
      </c>
      <c r="P21" s="14">
        <v>0.0005</v>
      </c>
      <c r="Q21" s="36">
        <v>1883</v>
      </c>
      <c r="R21" s="14">
        <v>0.0068</v>
      </c>
      <c r="S21" s="36">
        <v>4124</v>
      </c>
      <c r="T21" s="14">
        <v>0.0149</v>
      </c>
      <c r="U21" s="30">
        <v>128083</v>
      </c>
      <c r="V21" s="14">
        <v>0.4609</v>
      </c>
      <c r="W21" s="42">
        <v>0.4707</v>
      </c>
      <c r="X21" s="30">
        <v>94157</v>
      </c>
      <c r="Y21" s="37">
        <v>0.3394</v>
      </c>
      <c r="Z21" s="20">
        <v>17932</v>
      </c>
      <c r="AA21" s="14">
        <v>0.0645</v>
      </c>
    </row>
    <row r="22" spans="1:27">
      <c r="A22" s="27">
        <v>46192</v>
      </c>
      <c r="B22" s="28" t="s">
        <v>32</v>
      </c>
      <c r="C22" s="20">
        <v>8617</v>
      </c>
      <c r="D22" s="29">
        <v>0.61</v>
      </c>
      <c r="E22" s="30">
        <v>456867</v>
      </c>
      <c r="F22" s="30">
        <v>14098</v>
      </c>
      <c r="G22" s="30">
        <v>252889</v>
      </c>
      <c r="H22" s="14">
        <v>0.034</v>
      </c>
      <c r="I22" s="14"/>
      <c r="J22" s="31">
        <v>27974</v>
      </c>
      <c r="K22" s="32">
        <v>10634.06</v>
      </c>
      <c r="L22" s="33">
        <v>12869</v>
      </c>
      <c r="M22" s="34">
        <v>35430.84</v>
      </c>
      <c r="N22" s="35">
        <v>35219.37</v>
      </c>
      <c r="O22" s="36">
        <v>383</v>
      </c>
      <c r="P22" s="14">
        <v>0.0015</v>
      </c>
      <c r="Q22" s="36">
        <v>2156</v>
      </c>
      <c r="R22" s="14">
        <v>0.0085</v>
      </c>
      <c r="S22" s="36">
        <v>1156</v>
      </c>
      <c r="T22" s="14">
        <v>0.0046</v>
      </c>
      <c r="U22" s="30">
        <v>119215</v>
      </c>
      <c r="V22" s="14">
        <v>0.471</v>
      </c>
      <c r="W22" s="14">
        <v>0.4741</v>
      </c>
      <c r="X22" s="30">
        <v>75906</v>
      </c>
      <c r="Y22" s="37">
        <v>0.3002</v>
      </c>
      <c r="Z22" s="20">
        <v>16690</v>
      </c>
      <c r="AA22" s="14">
        <v>0.0659</v>
      </c>
    </row>
    <row r="23" spans="1:27">
      <c r="A23" s="27">
        <v>46193</v>
      </c>
      <c r="B23" s="28" t="s">
        <v>33</v>
      </c>
      <c r="C23" s="20">
        <v>9048</v>
      </c>
      <c r="D23" s="29">
        <v>0.78</v>
      </c>
      <c r="E23" s="30">
        <v>217025</v>
      </c>
      <c r="F23" s="30">
        <v>11641</v>
      </c>
      <c r="G23" s="30">
        <v>181704</v>
      </c>
      <c r="H23" s="14">
        <v>0.0498</v>
      </c>
      <c r="I23" s="14"/>
      <c r="J23" s="31">
        <v>24054</v>
      </c>
      <c r="K23" s="32">
        <v>3626.61</v>
      </c>
      <c r="L23" s="33">
        <v>12943</v>
      </c>
      <c r="M23" s="34">
        <v>25462.03</v>
      </c>
      <c r="N23" s="35">
        <v>25378.51</v>
      </c>
      <c r="O23" s="36">
        <v>326</v>
      </c>
      <c r="P23" s="14">
        <v>0.0018</v>
      </c>
      <c r="Q23" s="36">
        <v>1315</v>
      </c>
      <c r="R23" s="14">
        <v>0.0072</v>
      </c>
      <c r="S23" s="36">
        <v>1550</v>
      </c>
      <c r="T23" s="14">
        <v>0.0085</v>
      </c>
      <c r="U23" s="30">
        <v>98592</v>
      </c>
      <c r="V23" s="14">
        <v>0.5422</v>
      </c>
      <c r="W23" s="14">
        <v>0.5527</v>
      </c>
      <c r="X23" s="30">
        <v>26106</v>
      </c>
      <c r="Y23" s="37">
        <v>0.1437</v>
      </c>
      <c r="Z23" s="20">
        <v>13803</v>
      </c>
      <c r="AA23" s="14">
        <v>0.0759</v>
      </c>
    </row>
    <row r="24" spans="1:27">
      <c r="A24" s="27">
        <v>46194</v>
      </c>
      <c r="B24" s="28" t="s">
        <v>34</v>
      </c>
      <c r="C24" s="39">
        <v>-659</v>
      </c>
      <c r="D24" s="40">
        <v>-0.06</v>
      </c>
      <c r="E24" s="30">
        <v>239149</v>
      </c>
      <c r="F24" s="30">
        <v>11507</v>
      </c>
      <c r="G24" s="30">
        <v>187108</v>
      </c>
      <c r="H24" s="14">
        <v>-0.0035</v>
      </c>
      <c r="I24" s="14"/>
      <c r="J24" s="31">
        <v>23887</v>
      </c>
      <c r="K24" s="32">
        <v>4737.64</v>
      </c>
      <c r="L24" s="33">
        <v>12793</v>
      </c>
      <c r="M24" s="34">
        <v>26205.33</v>
      </c>
      <c r="N24" s="35">
        <v>26125.56</v>
      </c>
      <c r="O24" s="36">
        <v>1040</v>
      </c>
      <c r="P24" s="37">
        <v>0.0056</v>
      </c>
      <c r="Q24" s="36">
        <v>10380</v>
      </c>
      <c r="R24" s="37">
        <v>0.0555</v>
      </c>
      <c r="S24" s="36">
        <v>1509</v>
      </c>
      <c r="T24" s="14">
        <v>0.0081</v>
      </c>
      <c r="U24" s="30">
        <v>98692</v>
      </c>
      <c r="V24" s="14">
        <v>0.5275</v>
      </c>
      <c r="W24" s="14">
        <v>0.5432</v>
      </c>
      <c r="X24" s="30">
        <v>33654</v>
      </c>
      <c r="Y24" s="37">
        <v>0.1799</v>
      </c>
      <c r="Z24" s="20">
        <v>13817</v>
      </c>
      <c r="AA24" s="14">
        <v>0.0738</v>
      </c>
    </row>
    <row r="25" spans="1:27">
      <c r="A25" s="27">
        <v>46195</v>
      </c>
      <c r="B25" s="28" t="s">
        <v>28</v>
      </c>
      <c r="C25" s="20">
        <v>3430</v>
      </c>
      <c r="D25" s="29">
        <v>0.31</v>
      </c>
      <c r="E25" s="30">
        <v>170637</v>
      </c>
      <c r="F25" s="30">
        <v>11102</v>
      </c>
      <c r="G25" s="30">
        <v>175737</v>
      </c>
      <c r="H25" s="14">
        <v>0.0195</v>
      </c>
      <c r="I25" s="14">
        <v>0.3738</v>
      </c>
      <c r="J25" s="31">
        <v>25076</v>
      </c>
      <c r="K25" s="32">
        <v>1936.77</v>
      </c>
      <c r="L25" s="33">
        <v>12701</v>
      </c>
      <c r="M25" s="34">
        <v>24620.05</v>
      </c>
      <c r="N25" s="35">
        <v>24472.35</v>
      </c>
      <c r="O25" s="36">
        <v>393</v>
      </c>
      <c r="P25" s="14">
        <v>0.0022</v>
      </c>
      <c r="Q25" s="36">
        <v>3586</v>
      </c>
      <c r="R25" s="37">
        <v>0.0204</v>
      </c>
      <c r="S25" s="36">
        <v>4880</v>
      </c>
      <c r="T25" s="37">
        <v>0.0278</v>
      </c>
      <c r="U25" s="30">
        <v>99559</v>
      </c>
      <c r="V25" s="37">
        <v>0.5661</v>
      </c>
      <c r="W25" s="14">
        <v>0.5871</v>
      </c>
      <c r="X25" s="30">
        <v>15477</v>
      </c>
      <c r="Y25" s="14">
        <v>0.0881</v>
      </c>
      <c r="Z25" s="20">
        <v>13938</v>
      </c>
      <c r="AA25" s="37">
        <v>0.0793</v>
      </c>
    </row>
    <row r="26" spans="1:27">
      <c r="A26" s="27">
        <v>46196</v>
      </c>
      <c r="B26" s="28" t="s">
        <v>29</v>
      </c>
      <c r="C26" s="20">
        <v>3198</v>
      </c>
      <c r="D26" s="29">
        <v>0.3</v>
      </c>
      <c r="E26" s="30">
        <v>141680</v>
      </c>
      <c r="F26" s="30">
        <v>10514</v>
      </c>
      <c r="G26" s="30">
        <v>162496</v>
      </c>
      <c r="H26" s="14">
        <v>0.0197</v>
      </c>
      <c r="I26" s="14">
        <v>0.3914</v>
      </c>
      <c r="J26" s="31">
        <v>23359</v>
      </c>
      <c r="K26" s="32">
        <v>1600.4</v>
      </c>
      <c r="L26" s="33">
        <v>12821</v>
      </c>
      <c r="M26" s="34">
        <v>22744.63</v>
      </c>
      <c r="N26" s="35">
        <v>22683.15</v>
      </c>
      <c r="O26" s="36">
        <v>547</v>
      </c>
      <c r="P26" s="37">
        <v>0.0034</v>
      </c>
      <c r="Q26" s="36">
        <v>3290</v>
      </c>
      <c r="R26" s="37">
        <v>0.0202</v>
      </c>
      <c r="S26" s="36">
        <v>5367</v>
      </c>
      <c r="T26" s="37">
        <v>0.033</v>
      </c>
      <c r="U26" s="30">
        <v>91649</v>
      </c>
      <c r="V26" s="37">
        <v>0.564</v>
      </c>
      <c r="W26" s="14">
        <v>0.5912</v>
      </c>
      <c r="X26" s="30">
        <v>13020</v>
      </c>
      <c r="Y26" s="14">
        <v>0.0801</v>
      </c>
      <c r="Z26" s="20">
        <v>12831</v>
      </c>
      <c r="AA26" s="37">
        <v>0.079</v>
      </c>
    </row>
    <row r="27" spans="1:27">
      <c r="A27" s="27">
        <v>46197</v>
      </c>
      <c r="B27" s="28" t="s">
        <v>30</v>
      </c>
      <c r="C27" s="20">
        <v>2912</v>
      </c>
      <c r="D27" s="29">
        <v>0.24</v>
      </c>
      <c r="E27" s="30">
        <v>210970</v>
      </c>
      <c r="F27" s="30">
        <v>12391</v>
      </c>
      <c r="G27" s="30">
        <v>198291</v>
      </c>
      <c r="H27" s="14">
        <v>0.0147</v>
      </c>
      <c r="I27" s="14">
        <v>0.3072</v>
      </c>
      <c r="J27" s="31">
        <v>28465</v>
      </c>
      <c r="K27" s="32">
        <v>1459.86</v>
      </c>
      <c r="L27" s="33">
        <v>12956</v>
      </c>
      <c r="M27" s="34">
        <v>27766.08</v>
      </c>
      <c r="N27" s="35">
        <v>27635.24</v>
      </c>
      <c r="O27" s="36">
        <v>717</v>
      </c>
      <c r="P27" s="37">
        <v>0.0036</v>
      </c>
      <c r="Q27" s="36">
        <v>2687</v>
      </c>
      <c r="R27" s="14">
        <v>0.0136</v>
      </c>
      <c r="S27" s="36">
        <v>5684</v>
      </c>
      <c r="T27" s="37">
        <v>0.0287</v>
      </c>
      <c r="U27" s="30">
        <v>111888</v>
      </c>
      <c r="V27" s="37">
        <v>0.564</v>
      </c>
      <c r="W27" s="14">
        <v>0.574</v>
      </c>
      <c r="X27" s="30">
        <v>11466</v>
      </c>
      <c r="Y27" s="14">
        <v>0.0578</v>
      </c>
      <c r="Z27" s="20">
        <v>15664</v>
      </c>
      <c r="AA27" s="37">
        <v>0.079</v>
      </c>
    </row>
    <row r="28" spans="1:27">
      <c r="A28" s="27">
        <v>46198</v>
      </c>
      <c r="B28" s="28" t="s">
        <v>31</v>
      </c>
      <c r="C28" s="20">
        <v>3854</v>
      </c>
      <c r="D28" s="29">
        <v>0.29</v>
      </c>
      <c r="E28" s="30">
        <v>249412</v>
      </c>
      <c r="F28" s="30">
        <v>13429</v>
      </c>
      <c r="G28" s="30">
        <v>216294</v>
      </c>
      <c r="H28" s="14">
        <v>0.0178</v>
      </c>
      <c r="I28" s="14">
        <v>0.2967</v>
      </c>
      <c r="J28" s="31">
        <v>30952</v>
      </c>
      <c r="K28" s="32">
        <v>2365.82</v>
      </c>
      <c r="L28" s="33">
        <v>13494</v>
      </c>
      <c r="M28" s="34">
        <v>30304.44</v>
      </c>
      <c r="N28" s="35">
        <v>30186.63</v>
      </c>
      <c r="O28" s="36">
        <v>722</v>
      </c>
      <c r="P28" s="37">
        <v>0.0033</v>
      </c>
      <c r="Q28" s="36">
        <v>2416</v>
      </c>
      <c r="R28" s="14">
        <v>0.0112</v>
      </c>
      <c r="S28" s="36">
        <v>6102</v>
      </c>
      <c r="T28" s="37">
        <v>0.0282</v>
      </c>
      <c r="U28" s="30">
        <v>118323</v>
      </c>
      <c r="V28" s="14">
        <v>0.547</v>
      </c>
      <c r="W28" s="14">
        <v>0.5613</v>
      </c>
      <c r="X28" s="30">
        <v>17772</v>
      </c>
      <c r="Y28" s="14">
        <v>0.0822</v>
      </c>
      <c r="Z28" s="20">
        <v>16565</v>
      </c>
      <c r="AA28" s="14">
        <v>0.0766</v>
      </c>
    </row>
    <row r="29" spans="1:27">
      <c r="A29" s="27">
        <v>46199</v>
      </c>
      <c r="B29" s="28" t="s">
        <v>32</v>
      </c>
      <c r="C29" s="20">
        <v>236</v>
      </c>
      <c r="D29" s="29">
        <v>0.02</v>
      </c>
      <c r="E29" s="30">
        <v>190060</v>
      </c>
      <c r="F29" s="30">
        <v>13462</v>
      </c>
      <c r="G29" s="30">
        <v>215939</v>
      </c>
      <c r="H29" s="14">
        <v>0.0011</v>
      </c>
      <c r="I29" s="14">
        <v>0.391</v>
      </c>
      <c r="J29" s="31">
        <v>28462</v>
      </c>
      <c r="K29" s="32">
        <v>1638.48</v>
      </c>
      <c r="L29" s="33">
        <v>14223</v>
      </c>
      <c r="M29" s="34">
        <v>30243.79</v>
      </c>
      <c r="N29" s="35">
        <v>30148.96</v>
      </c>
      <c r="O29" s="36">
        <v>523</v>
      </c>
      <c r="P29" s="14">
        <v>0.0024</v>
      </c>
      <c r="Q29" s="36">
        <v>3138</v>
      </c>
      <c r="R29" s="14">
        <v>0.0145</v>
      </c>
      <c r="S29" s="36">
        <v>6781</v>
      </c>
      <c r="T29" s="37">
        <v>0.0314</v>
      </c>
      <c r="U29" s="30">
        <v>136747</v>
      </c>
      <c r="V29" s="37">
        <v>0.633</v>
      </c>
      <c r="W29" s="14">
        <v>0.6475</v>
      </c>
      <c r="X29" s="30">
        <v>12524</v>
      </c>
      <c r="Y29" s="14">
        <v>0.058</v>
      </c>
      <c r="Z29" s="20">
        <v>19145</v>
      </c>
      <c r="AA29" s="37">
        <v>0.0886</v>
      </c>
    </row>
    <row r="30" spans="1:27">
      <c r="A30" s="27">
        <v>46200</v>
      </c>
      <c r="B30" s="28" t="s">
        <v>33</v>
      </c>
      <c r="C30" s="20">
        <v>4147</v>
      </c>
      <c r="D30" s="29">
        <v>0.32</v>
      </c>
      <c r="E30" s="30">
        <v>169924</v>
      </c>
      <c r="F30" s="30">
        <v>13092</v>
      </c>
      <c r="G30" s="30">
        <v>202543</v>
      </c>
      <c r="H30" s="14">
        <v>0.0205</v>
      </c>
      <c r="I30" s="14">
        <v>0.4882</v>
      </c>
      <c r="J30" s="31">
        <v>25677</v>
      </c>
      <c r="K30" s="32">
        <v>2549.61</v>
      </c>
      <c r="L30" s="33">
        <v>15362</v>
      </c>
      <c r="M30" s="34">
        <v>28323.24</v>
      </c>
      <c r="N30" s="35">
        <v>28261.02</v>
      </c>
      <c r="O30" s="36">
        <v>1121</v>
      </c>
      <c r="P30" s="37">
        <v>0.0055</v>
      </c>
      <c r="Q30" s="36">
        <v>3816</v>
      </c>
      <c r="R30" s="37">
        <v>0.0188</v>
      </c>
      <c r="S30" s="36">
        <v>2898</v>
      </c>
      <c r="T30" s="14">
        <v>0.0143</v>
      </c>
      <c r="U30" s="30">
        <v>127064</v>
      </c>
      <c r="V30" s="37">
        <v>0.6273</v>
      </c>
      <c r="W30" s="14">
        <v>0.6508</v>
      </c>
      <c r="X30" s="30">
        <v>18045</v>
      </c>
      <c r="Y30" s="14">
        <v>0.0891</v>
      </c>
      <c r="Z30" s="20">
        <v>17789</v>
      </c>
      <c r="AA30" s="37">
        <v>0.0878</v>
      </c>
    </row>
    <row r="31" spans="1:27">
      <c r="A31" s="27">
        <v>46201</v>
      </c>
      <c r="B31" s="28" t="s">
        <v>34</v>
      </c>
      <c r="C31" s="20">
        <v>3536</v>
      </c>
      <c r="D31" s="29">
        <v>0.3</v>
      </c>
      <c r="E31" s="30">
        <v>153511</v>
      </c>
      <c r="F31" s="30">
        <v>11746</v>
      </c>
      <c r="G31" s="30">
        <v>178421</v>
      </c>
      <c r="H31" s="14">
        <v>0.0198</v>
      </c>
      <c r="I31" s="14">
        <v>0.4931</v>
      </c>
      <c r="J31" s="31">
        <v>24534</v>
      </c>
      <c r="K31" s="32">
        <v>134.38</v>
      </c>
      <c r="L31" s="33">
        <v>15485</v>
      </c>
      <c r="M31" s="34">
        <v>24973.51</v>
      </c>
      <c r="N31" s="35">
        <v>24903.06</v>
      </c>
      <c r="O31" s="36">
        <v>1512</v>
      </c>
      <c r="P31" s="37">
        <v>0.0085</v>
      </c>
      <c r="Q31" s="36">
        <v>4560</v>
      </c>
      <c r="R31" s="37">
        <v>0.0256</v>
      </c>
      <c r="S31" s="36">
        <v>2654</v>
      </c>
      <c r="T31" s="14">
        <v>0.0149</v>
      </c>
      <c r="U31" s="30">
        <v>118526</v>
      </c>
      <c r="V31" s="37">
        <v>0.6641</v>
      </c>
      <c r="W31" s="14">
        <v>0.6825</v>
      </c>
      <c r="X31" s="30">
        <v>968</v>
      </c>
      <c r="Y31" s="14">
        <v>0.0054</v>
      </c>
      <c r="Z31" s="20">
        <v>16594</v>
      </c>
      <c r="AA31" s="37">
        <v>0.093</v>
      </c>
    </row>
    <row r="32" spans="1:27">
      <c r="A32" s="27">
        <v>46202</v>
      </c>
      <c r="B32" s="28" t="s">
        <v>28</v>
      </c>
      <c r="C32" s="20">
        <v>427</v>
      </c>
      <c r="D32" s="29">
        <v>0.04</v>
      </c>
      <c r="E32" s="30">
        <v>138530</v>
      </c>
      <c r="F32" s="30">
        <v>11168</v>
      </c>
      <c r="G32" s="30">
        <v>171550</v>
      </c>
      <c r="H32" s="14">
        <v>0.0025</v>
      </c>
      <c r="I32" s="14">
        <v>0.4526</v>
      </c>
      <c r="J32" s="31">
        <v>22920</v>
      </c>
      <c r="K32" s="32">
        <v>1692.73</v>
      </c>
      <c r="L32" s="33">
        <v>14767</v>
      </c>
      <c r="M32" s="34">
        <v>24027.41</v>
      </c>
      <c r="N32" s="35">
        <v>23989.1</v>
      </c>
      <c r="O32" s="36">
        <v>1341</v>
      </c>
      <c r="P32" s="37">
        <v>0.0078</v>
      </c>
      <c r="Q32" s="36">
        <v>4397</v>
      </c>
      <c r="R32" s="37">
        <v>0.0256</v>
      </c>
      <c r="S32" s="36">
        <v>6403</v>
      </c>
      <c r="T32" s="37">
        <v>0.0373</v>
      </c>
      <c r="U32" s="30">
        <v>106067</v>
      </c>
      <c r="V32" s="37">
        <v>0.618</v>
      </c>
      <c r="W32" s="14">
        <v>0.6341</v>
      </c>
      <c r="X32" s="30">
        <v>13027</v>
      </c>
      <c r="Y32" s="14">
        <v>0.0759</v>
      </c>
      <c r="Z32" s="20">
        <v>14849</v>
      </c>
      <c r="AA32" s="37">
        <v>0.0865</v>
      </c>
    </row>
    <row r="33" spans="1:27">
      <c r="A33" s="27">
        <v>46203</v>
      </c>
      <c r="B33" s="28" t="s">
        <v>29</v>
      </c>
      <c r="C33" s="20">
        <v>959</v>
      </c>
      <c r="D33" s="29">
        <v>0.08</v>
      </c>
      <c r="E33" s="30">
        <v>188199</v>
      </c>
      <c r="F33" s="30">
        <v>12712</v>
      </c>
      <c r="G33" s="30">
        <v>202229</v>
      </c>
      <c r="H33" s="14">
        <v>0.0047</v>
      </c>
      <c r="I33" s="14">
        <v>0.4138</v>
      </c>
      <c r="J33" s="31">
        <v>27377</v>
      </c>
      <c r="K33" s="32">
        <v>1459.55</v>
      </c>
      <c r="L33" s="33">
        <v>14878</v>
      </c>
      <c r="M33" s="34">
        <v>28307.07</v>
      </c>
      <c r="N33" s="35">
        <v>28164.65</v>
      </c>
      <c r="O33" s="36">
        <v>791</v>
      </c>
      <c r="P33" s="37">
        <v>0.0039</v>
      </c>
      <c r="Q33" s="36">
        <v>3611</v>
      </c>
      <c r="R33" s="37">
        <v>0.0179</v>
      </c>
      <c r="S33" s="36">
        <v>6828</v>
      </c>
      <c r="T33" s="37">
        <v>0.0338</v>
      </c>
      <c r="U33" s="30">
        <v>124650</v>
      </c>
      <c r="V33" s="37">
        <v>0.6164</v>
      </c>
      <c r="W33" s="14">
        <v>0.6333</v>
      </c>
      <c r="X33" s="30">
        <v>11551</v>
      </c>
      <c r="Y33" s="14">
        <v>0.0571</v>
      </c>
      <c r="Z33" s="20">
        <v>17451</v>
      </c>
      <c r="AA33" s="37">
        <v>0.0863</v>
      </c>
    </row>
  </sheetData>
  <sheetProtection formatCells="0" formatColumns="0" formatRows="0" insertRows="0" insertColumns="0" insertHyperlinks="0" deleteColumns="0" deleteRows="0" sort="0" autoFilter="0" pivotTables="0"/>
  <mergeCells count="11">
    <mergeCell ref="A3:B3"/>
    <mergeCell ref="D2:D3"/>
    <mergeCell ref="H2:H3"/>
    <mergeCell ref="I2:I3"/>
    <mergeCell ref="P2:P3"/>
    <mergeCell ref="R2:R3"/>
    <mergeCell ref="T2:T3"/>
    <mergeCell ref="V2:V3"/>
    <mergeCell ref="W2:W3"/>
    <mergeCell ref="Y2:Y3"/>
    <mergeCell ref="AA2:AA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11.3307692307692" defaultRowHeight="14.5"/>
  <cols>
    <col min="1" max="1" width="16.8923076923077" style="1" customWidth="1"/>
    <col min="2" max="16384" width="11.3307692307692" style="1"/>
  </cols>
  <sheetData>
    <row r="1" spans="1:27">
      <c r="A1" s="2" t="s">
        <v>35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10" t="s">
        <v>13</v>
      </c>
      <c r="O1" s="8" t="s">
        <v>14</v>
      </c>
      <c r="P1" s="11" t="s">
        <v>15</v>
      </c>
      <c r="Q1" s="8" t="s">
        <v>16</v>
      </c>
      <c r="R1" s="11" t="s">
        <v>17</v>
      </c>
      <c r="S1" s="8" t="s">
        <v>18</v>
      </c>
      <c r="T1" s="11" t="s">
        <v>19</v>
      </c>
      <c r="U1" s="5" t="s">
        <v>20</v>
      </c>
      <c r="V1" s="10" t="s">
        <v>21</v>
      </c>
      <c r="W1" s="6" t="s">
        <v>22</v>
      </c>
      <c r="X1" s="10" t="s">
        <v>23</v>
      </c>
      <c r="Y1" s="10" t="s">
        <v>24</v>
      </c>
      <c r="Z1" s="5" t="s">
        <v>25</v>
      </c>
      <c r="AA1" s="11" t="s">
        <v>26</v>
      </c>
    </row>
    <row r="2" ht="19.5" customHeight="1" spans="1:27">
      <c r="A2" s="12">
        <v>50710</v>
      </c>
      <c r="B2" s="13">
        <v>100000</v>
      </c>
      <c r="C2" s="14">
        <v>0.5071</v>
      </c>
      <c r="D2" s="15">
        <v>0.12</v>
      </c>
      <c r="E2" s="16">
        <f t="shared" ref="E2:G2" si="0">SUM(E4:E33)</f>
        <v>13567741</v>
      </c>
      <c r="F2" s="16">
        <f t="shared" si="0"/>
        <v>548121</v>
      </c>
      <c r="G2" s="16">
        <f t="shared" si="0"/>
        <v>9774036</v>
      </c>
      <c r="H2" s="17">
        <f>AVERAGE(H4:H33)</f>
        <v>0.00497</v>
      </c>
      <c r="I2" s="17">
        <f>AVERAGE(I4:I33)</f>
        <v>0.466611538461538</v>
      </c>
      <c r="J2" s="18">
        <f t="shared" ref="J2:O2" si="1">SUM(J4:J33)</f>
        <v>984974</v>
      </c>
      <c r="K2" s="18">
        <f t="shared" si="1"/>
        <v>120316.42</v>
      </c>
      <c r="L2" s="18">
        <f t="shared" si="1"/>
        <v>859987</v>
      </c>
      <c r="M2" s="19">
        <f t="shared" si="1"/>
        <v>1367633.81</v>
      </c>
      <c r="N2" s="19">
        <f t="shared" si="1"/>
        <v>1366006.36</v>
      </c>
      <c r="O2" s="19">
        <f t="shared" si="1"/>
        <v>76902</v>
      </c>
      <c r="P2" s="17">
        <f t="shared" ref="P2:T2" si="2">AVERAGE(P4:P33)</f>
        <v>0.00801</v>
      </c>
      <c r="Q2" s="20">
        <f t="shared" ref="Q2:U2" si="3">SUM(Q4:Q33)</f>
        <v>112916</v>
      </c>
      <c r="R2" s="17">
        <f t="shared" si="2"/>
        <v>0.01181</v>
      </c>
      <c r="S2" s="20">
        <f t="shared" si="3"/>
        <v>226153</v>
      </c>
      <c r="T2" s="17">
        <f t="shared" si="2"/>
        <v>0.0247733333333333</v>
      </c>
      <c r="U2" s="16">
        <f t="shared" si="3"/>
        <v>6682777</v>
      </c>
      <c r="V2" s="17">
        <f t="shared" ref="V2:Y2" si="4">AVERAGE(V4:V33)</f>
        <v>0.688023333333333</v>
      </c>
      <c r="W2" s="21">
        <f t="shared" si="4"/>
        <v>0.69049</v>
      </c>
      <c r="X2" s="16">
        <f>SUM(X4:X33)</f>
        <v>1090194</v>
      </c>
      <c r="Y2" s="17">
        <f t="shared" si="4"/>
        <v>0.10434</v>
      </c>
      <c r="Z2" s="20">
        <f>SUM(Z4:Z33)</f>
        <v>935588</v>
      </c>
      <c r="AA2" s="17">
        <f>AVERAGE(AA4:AA33)</f>
        <v>0.0963266666666667</v>
      </c>
    </row>
    <row r="3" ht="19.5" customHeight="1" spans="1:27">
      <c r="A3" s="22" t="s">
        <v>27</v>
      </c>
      <c r="B3" s="22"/>
      <c r="C3" s="23">
        <v>2236</v>
      </c>
      <c r="D3" s="15"/>
      <c r="E3" s="24">
        <f t="shared" ref="E3:G3" si="5">AVERAGE(E4:E33)</f>
        <v>452258.033333333</v>
      </c>
      <c r="F3" s="24">
        <f t="shared" si="5"/>
        <v>18270.7</v>
      </c>
      <c r="G3" s="24">
        <f t="shared" si="5"/>
        <v>325801.2</v>
      </c>
      <c r="H3" s="17"/>
      <c r="I3" s="17"/>
      <c r="J3" s="25">
        <f t="shared" ref="J3:O3" si="6">AVERAGE(J4:J33)</f>
        <v>32832.4666666667</v>
      </c>
      <c r="K3" s="25">
        <f t="shared" si="6"/>
        <v>4010.54733333333</v>
      </c>
      <c r="L3" s="25">
        <f t="shared" si="6"/>
        <v>28666.2333333333</v>
      </c>
      <c r="M3" s="26">
        <f t="shared" si="6"/>
        <v>45587.7936666667</v>
      </c>
      <c r="N3" s="26">
        <f t="shared" si="6"/>
        <v>45533.5453333333</v>
      </c>
      <c r="O3" s="23">
        <f t="shared" si="6"/>
        <v>2563.4</v>
      </c>
      <c r="P3" s="17"/>
      <c r="Q3" s="23">
        <f t="shared" ref="Q3:U3" si="7">AVERAGE(Q4:Q33)</f>
        <v>3763.86666666667</v>
      </c>
      <c r="R3" s="17"/>
      <c r="S3" s="23">
        <f t="shared" si="7"/>
        <v>7538.43333333333</v>
      </c>
      <c r="T3" s="17"/>
      <c r="U3" s="24">
        <f t="shared" si="7"/>
        <v>222759.233333333</v>
      </c>
      <c r="V3" s="17"/>
      <c r="W3" s="21"/>
      <c r="X3" s="24">
        <f>AVERAGE(X4:X33)</f>
        <v>36339.8</v>
      </c>
      <c r="Y3" s="17"/>
      <c r="Z3" s="23">
        <f>AVERAGE(Z4:Z33)</f>
        <v>31186.2666666667</v>
      </c>
      <c r="AA3" s="17"/>
    </row>
    <row r="4" spans="1:27">
      <c r="A4" s="27">
        <v>46174</v>
      </c>
      <c r="B4" s="28" t="s">
        <v>28</v>
      </c>
      <c r="C4" s="39">
        <v>-5850</v>
      </c>
      <c r="D4" s="40">
        <v>-0.35</v>
      </c>
      <c r="E4" s="30">
        <v>359481</v>
      </c>
      <c r="F4" s="30">
        <v>16530</v>
      </c>
      <c r="G4" s="30">
        <v>292060</v>
      </c>
      <c r="H4" s="14">
        <v>-0.02</v>
      </c>
      <c r="I4" s="14">
        <v>0.4365</v>
      </c>
      <c r="J4" s="31">
        <v>30430</v>
      </c>
      <c r="K4" s="32">
        <v>3048.67</v>
      </c>
      <c r="L4" s="33">
        <v>25744</v>
      </c>
      <c r="M4" s="34">
        <v>40889.45</v>
      </c>
      <c r="N4" s="35">
        <v>40790.22</v>
      </c>
      <c r="O4" s="36">
        <v>3134</v>
      </c>
      <c r="P4" s="37">
        <v>0.0107</v>
      </c>
      <c r="Q4" s="36">
        <v>8317</v>
      </c>
      <c r="R4" s="37">
        <v>0.0285</v>
      </c>
      <c r="S4" s="36">
        <v>8949</v>
      </c>
      <c r="T4" s="37">
        <v>0.0306</v>
      </c>
      <c r="U4" s="30">
        <v>199747</v>
      </c>
      <c r="V4" s="14">
        <v>0.6833</v>
      </c>
      <c r="W4" s="14">
        <v>0.6877</v>
      </c>
      <c r="X4" s="30">
        <v>28078</v>
      </c>
      <c r="Y4" s="14">
        <v>0.0961</v>
      </c>
      <c r="Z4" s="20">
        <v>27965</v>
      </c>
      <c r="AA4" s="14">
        <v>0.0957</v>
      </c>
    </row>
    <row r="5" spans="1:27">
      <c r="A5" s="27">
        <v>46175</v>
      </c>
      <c r="B5" s="28" t="s">
        <v>29</v>
      </c>
      <c r="C5" s="39">
        <v>-96</v>
      </c>
      <c r="D5" s="40">
        <v>-0.01</v>
      </c>
      <c r="E5" s="30">
        <v>296551</v>
      </c>
      <c r="F5" s="30">
        <v>15335</v>
      </c>
      <c r="G5" s="30">
        <v>268124</v>
      </c>
      <c r="H5" s="14">
        <v>-0.0004</v>
      </c>
      <c r="I5" s="14">
        <v>0.449</v>
      </c>
      <c r="J5" s="31">
        <v>28039</v>
      </c>
      <c r="K5" s="32">
        <v>2850.7</v>
      </c>
      <c r="L5" s="33">
        <v>25674</v>
      </c>
      <c r="M5" s="34">
        <v>37507.99</v>
      </c>
      <c r="N5" s="35">
        <v>37474.62</v>
      </c>
      <c r="O5" s="36">
        <v>2064</v>
      </c>
      <c r="P5" s="37">
        <v>0.0077</v>
      </c>
      <c r="Q5" s="36">
        <v>4970</v>
      </c>
      <c r="R5" s="37">
        <v>0.0185</v>
      </c>
      <c r="S5" s="36">
        <v>8619</v>
      </c>
      <c r="T5" s="37">
        <v>0.0321</v>
      </c>
      <c r="U5" s="30">
        <v>182552</v>
      </c>
      <c r="V5" s="14">
        <v>0.6807</v>
      </c>
      <c r="W5" s="14">
        <v>0.6853</v>
      </c>
      <c r="X5" s="30">
        <v>28353</v>
      </c>
      <c r="Y5" s="37">
        <v>0.1057</v>
      </c>
      <c r="Z5" s="20">
        <v>25557</v>
      </c>
      <c r="AA5" s="14">
        <v>0.0953</v>
      </c>
    </row>
    <row r="6" spans="1:27">
      <c r="A6" s="27">
        <v>46176</v>
      </c>
      <c r="B6" s="28" t="s">
        <v>30</v>
      </c>
      <c r="C6" s="39">
        <v>-271</v>
      </c>
      <c r="D6" s="40">
        <v>-0.02</v>
      </c>
      <c r="E6" s="30">
        <v>310541</v>
      </c>
      <c r="F6" s="30">
        <v>16207</v>
      </c>
      <c r="G6" s="30">
        <v>277315</v>
      </c>
      <c r="H6" s="14">
        <v>-0.001</v>
      </c>
      <c r="I6" s="14">
        <v>0.4672</v>
      </c>
      <c r="J6" s="31">
        <v>30475</v>
      </c>
      <c r="K6" s="32">
        <v>2627.3</v>
      </c>
      <c r="L6" s="33">
        <v>25534</v>
      </c>
      <c r="M6" s="34">
        <v>38823.65</v>
      </c>
      <c r="N6" s="35">
        <v>38785.41</v>
      </c>
      <c r="O6" s="36">
        <v>2348</v>
      </c>
      <c r="P6" s="37">
        <v>0.0085</v>
      </c>
      <c r="Q6" s="36">
        <v>2999</v>
      </c>
      <c r="R6" s="37">
        <v>0.0108</v>
      </c>
      <c r="S6" s="36">
        <v>11143</v>
      </c>
      <c r="T6" s="37">
        <v>0.0402</v>
      </c>
      <c r="U6" s="30">
        <v>186923</v>
      </c>
      <c r="V6" s="14">
        <v>0.673</v>
      </c>
      <c r="W6" s="14">
        <v>0.6786</v>
      </c>
      <c r="X6" s="30">
        <v>25542</v>
      </c>
      <c r="Y6" s="14">
        <v>0.0921</v>
      </c>
      <c r="Z6" s="20">
        <v>26169</v>
      </c>
      <c r="AA6" s="14">
        <v>0.0942</v>
      </c>
    </row>
    <row r="7" spans="1:27">
      <c r="A7" s="27">
        <v>46177</v>
      </c>
      <c r="B7" s="28" t="s">
        <v>31</v>
      </c>
      <c r="C7" s="20">
        <v>689</v>
      </c>
      <c r="D7" s="29">
        <v>0.04</v>
      </c>
      <c r="E7" s="30">
        <v>304600</v>
      </c>
      <c r="F7" s="30">
        <v>15941</v>
      </c>
      <c r="G7" s="30">
        <v>275294</v>
      </c>
      <c r="H7" s="14">
        <v>0.0025</v>
      </c>
      <c r="I7" s="14">
        <v>0.4643</v>
      </c>
      <c r="J7" s="31">
        <v>29536</v>
      </c>
      <c r="K7" s="32">
        <v>2570.96</v>
      </c>
      <c r="L7" s="33">
        <v>25948</v>
      </c>
      <c r="M7" s="34">
        <v>38561.08</v>
      </c>
      <c r="N7" s="35">
        <v>38541.16</v>
      </c>
      <c r="O7" s="36">
        <v>1644</v>
      </c>
      <c r="P7" s="37">
        <v>0.006</v>
      </c>
      <c r="Q7" s="36">
        <v>2443</v>
      </c>
      <c r="R7" s="37">
        <v>0.0089</v>
      </c>
      <c r="S7" s="36">
        <v>11142</v>
      </c>
      <c r="T7" s="37">
        <v>0.0405</v>
      </c>
      <c r="U7" s="30">
        <v>189823</v>
      </c>
      <c r="V7" s="14">
        <v>0.6884</v>
      </c>
      <c r="W7" s="14">
        <v>0.6885</v>
      </c>
      <c r="X7" s="30">
        <v>25452</v>
      </c>
      <c r="Y7" s="14">
        <v>0.0925</v>
      </c>
      <c r="Z7" s="20">
        <v>26575</v>
      </c>
      <c r="AA7" s="14">
        <v>0.0964</v>
      </c>
    </row>
    <row r="8" spans="1:27">
      <c r="A8" s="27">
        <v>46178</v>
      </c>
      <c r="B8" s="28" t="s">
        <v>32</v>
      </c>
      <c r="C8" s="39">
        <v>-1121</v>
      </c>
      <c r="D8" s="40">
        <v>-0.06</v>
      </c>
      <c r="E8" s="30">
        <v>436590</v>
      </c>
      <c r="F8" s="30">
        <v>18714</v>
      </c>
      <c r="G8" s="30">
        <v>337705</v>
      </c>
      <c r="H8" s="14">
        <v>-0.0033</v>
      </c>
      <c r="I8" s="14">
        <v>0.3986</v>
      </c>
      <c r="J8" s="31">
        <v>35012</v>
      </c>
      <c r="K8" s="32">
        <v>2295.58</v>
      </c>
      <c r="L8" s="33">
        <v>28853</v>
      </c>
      <c r="M8" s="34">
        <v>47302.54</v>
      </c>
      <c r="N8" s="35">
        <v>47200.5</v>
      </c>
      <c r="O8" s="36">
        <v>2521</v>
      </c>
      <c r="P8" s="37">
        <v>0.0075</v>
      </c>
      <c r="Q8" s="36">
        <v>2513</v>
      </c>
      <c r="R8" s="37">
        <v>0.0074</v>
      </c>
      <c r="S8" s="36">
        <v>10643</v>
      </c>
      <c r="T8" s="37">
        <v>0.0315</v>
      </c>
      <c r="U8" s="30">
        <v>241478</v>
      </c>
      <c r="V8" s="37">
        <v>0.7144</v>
      </c>
      <c r="W8" s="14">
        <v>0.7093</v>
      </c>
      <c r="X8" s="30">
        <v>25713</v>
      </c>
      <c r="Y8" s="14">
        <v>0.0761</v>
      </c>
      <c r="Z8" s="20">
        <v>33807</v>
      </c>
      <c r="AA8" s="37">
        <v>0.1</v>
      </c>
    </row>
    <row r="9" spans="1:27">
      <c r="A9" s="27">
        <v>46179</v>
      </c>
      <c r="B9" s="28" t="s">
        <v>33</v>
      </c>
      <c r="C9" s="20">
        <v>4300</v>
      </c>
      <c r="D9" s="29">
        <v>0.22</v>
      </c>
      <c r="E9" s="30">
        <v>471437</v>
      </c>
      <c r="F9" s="30">
        <v>19656</v>
      </c>
      <c r="G9" s="30">
        <v>340672</v>
      </c>
      <c r="H9" s="14">
        <v>0.0126</v>
      </c>
      <c r="I9" s="14">
        <v>0.4371</v>
      </c>
      <c r="J9" s="31">
        <v>35606</v>
      </c>
      <c r="K9" s="32">
        <v>558.49</v>
      </c>
      <c r="L9" s="33">
        <v>29484</v>
      </c>
      <c r="M9" s="34">
        <v>47719.62</v>
      </c>
      <c r="N9" s="35">
        <v>47687.61</v>
      </c>
      <c r="O9" s="36">
        <v>2336</v>
      </c>
      <c r="P9" s="37">
        <v>0.0069</v>
      </c>
      <c r="Q9" s="36">
        <v>2099</v>
      </c>
      <c r="R9" s="14">
        <v>0.0062</v>
      </c>
      <c r="S9" s="36">
        <v>4792</v>
      </c>
      <c r="T9" s="14">
        <v>0.0141</v>
      </c>
      <c r="U9" s="30">
        <v>258817</v>
      </c>
      <c r="V9" s="37">
        <v>0.758</v>
      </c>
      <c r="W9" s="14">
        <v>0.7591</v>
      </c>
      <c r="X9" s="30">
        <v>5183</v>
      </c>
      <c r="Y9" s="14">
        <v>0.0152</v>
      </c>
      <c r="Z9" s="20">
        <v>36234</v>
      </c>
      <c r="AA9" s="37">
        <v>0.1061</v>
      </c>
    </row>
    <row r="10" spans="1:27">
      <c r="A10" s="27">
        <v>46180</v>
      </c>
      <c r="B10" s="28" t="s">
        <v>34</v>
      </c>
      <c r="C10" s="20">
        <v>698</v>
      </c>
      <c r="D10" s="29">
        <v>0.04</v>
      </c>
      <c r="E10" s="30">
        <v>383372</v>
      </c>
      <c r="F10" s="30">
        <v>17486</v>
      </c>
      <c r="G10" s="30">
        <v>306020</v>
      </c>
      <c r="H10" s="14">
        <v>0.0023</v>
      </c>
      <c r="I10" s="14">
        <v>0.4495</v>
      </c>
      <c r="J10" s="31">
        <v>32017</v>
      </c>
      <c r="K10" s="32">
        <v>898.86</v>
      </c>
      <c r="L10" s="33">
        <v>29012</v>
      </c>
      <c r="M10" s="34">
        <v>42864.58</v>
      </c>
      <c r="N10" s="35">
        <v>42860.82</v>
      </c>
      <c r="O10" s="36">
        <v>2994</v>
      </c>
      <c r="P10" s="37">
        <v>0.0098</v>
      </c>
      <c r="Q10" s="36">
        <v>3854</v>
      </c>
      <c r="R10" s="37">
        <v>0.0126</v>
      </c>
      <c r="S10" s="36">
        <v>7548</v>
      </c>
      <c r="T10" s="14">
        <v>0.0247</v>
      </c>
      <c r="U10" s="30">
        <v>227820</v>
      </c>
      <c r="V10" s="37">
        <v>0.743</v>
      </c>
      <c r="W10" s="14">
        <v>0.7438</v>
      </c>
      <c r="X10" s="30">
        <v>8491</v>
      </c>
      <c r="Y10" s="14">
        <v>0.0277</v>
      </c>
      <c r="Z10" s="20">
        <v>31895</v>
      </c>
      <c r="AA10" s="37">
        <v>0.104</v>
      </c>
    </row>
    <row r="11" spans="1:27">
      <c r="A11" s="27">
        <v>46181</v>
      </c>
      <c r="B11" s="28" t="s">
        <v>28</v>
      </c>
      <c r="C11" s="39">
        <v>-5275</v>
      </c>
      <c r="D11" s="40">
        <v>-0.31</v>
      </c>
      <c r="E11" s="30">
        <v>414516</v>
      </c>
      <c r="F11" s="30">
        <v>17146</v>
      </c>
      <c r="G11" s="30">
        <v>290281</v>
      </c>
      <c r="H11" s="14">
        <v>-0.0181</v>
      </c>
      <c r="I11" s="14">
        <v>0.4751</v>
      </c>
      <c r="J11" s="31">
        <v>31089</v>
      </c>
      <c r="K11" s="32">
        <v>3655.6</v>
      </c>
      <c r="L11" s="33">
        <v>27022</v>
      </c>
      <c r="M11" s="34">
        <v>40612.33</v>
      </c>
      <c r="N11" s="35">
        <v>40578.4</v>
      </c>
      <c r="O11" s="36">
        <v>2959</v>
      </c>
      <c r="P11" s="37">
        <v>0.0102</v>
      </c>
      <c r="Q11" s="36">
        <v>5329</v>
      </c>
      <c r="R11" s="37">
        <v>0.0184</v>
      </c>
      <c r="S11" s="36">
        <v>14322</v>
      </c>
      <c r="T11" s="37">
        <v>0.0493</v>
      </c>
      <c r="U11" s="30">
        <v>190039</v>
      </c>
      <c r="V11" s="14">
        <v>0.6534</v>
      </c>
      <c r="W11" s="14">
        <v>0.6584</v>
      </c>
      <c r="X11" s="30">
        <v>36766</v>
      </c>
      <c r="Y11" s="37">
        <v>0.1267</v>
      </c>
      <c r="Z11" s="20">
        <v>26605</v>
      </c>
      <c r="AA11" s="14">
        <v>0.0915</v>
      </c>
    </row>
    <row r="12" spans="1:27">
      <c r="A12" s="27">
        <v>46182</v>
      </c>
      <c r="B12" s="28" t="s">
        <v>29</v>
      </c>
      <c r="C12" s="39">
        <v>-5024</v>
      </c>
      <c r="D12" s="40">
        <v>-0.3</v>
      </c>
      <c r="E12" s="30">
        <v>309526</v>
      </c>
      <c r="F12" s="30">
        <v>16566</v>
      </c>
      <c r="G12" s="30">
        <v>282195</v>
      </c>
      <c r="H12" s="14">
        <v>-0.0178</v>
      </c>
      <c r="I12" s="14">
        <v>0.5043</v>
      </c>
      <c r="J12" s="31">
        <v>31133</v>
      </c>
      <c r="K12" s="32">
        <v>2756.06</v>
      </c>
      <c r="L12" s="33">
        <v>26090</v>
      </c>
      <c r="M12" s="34">
        <v>39496.69</v>
      </c>
      <c r="N12" s="35">
        <v>39449.81</v>
      </c>
      <c r="O12" s="36">
        <v>2782</v>
      </c>
      <c r="P12" s="37">
        <v>0.0099</v>
      </c>
      <c r="Q12" s="36">
        <v>4145</v>
      </c>
      <c r="R12" s="37">
        <v>0.0147</v>
      </c>
      <c r="S12" s="36">
        <v>14853</v>
      </c>
      <c r="T12" s="37">
        <v>0.0526</v>
      </c>
      <c r="U12" s="30">
        <v>188769</v>
      </c>
      <c r="V12" s="14">
        <v>0.6684</v>
      </c>
      <c r="W12" s="14">
        <v>0.6737</v>
      </c>
      <c r="X12" s="30">
        <v>28027</v>
      </c>
      <c r="Y12" s="14">
        <v>0.0993</v>
      </c>
      <c r="Z12" s="20">
        <v>26428</v>
      </c>
      <c r="AA12" s="14">
        <v>0.0936</v>
      </c>
    </row>
    <row r="13" spans="1:27">
      <c r="A13" s="27">
        <v>46183</v>
      </c>
      <c r="B13" s="28" t="s">
        <v>30</v>
      </c>
      <c r="C13" s="39">
        <v>-992</v>
      </c>
      <c r="D13" s="40">
        <v>-0.06</v>
      </c>
      <c r="E13" s="30">
        <v>312480</v>
      </c>
      <c r="F13" s="30">
        <v>16655</v>
      </c>
      <c r="G13" s="30">
        <v>285271</v>
      </c>
      <c r="H13" s="14">
        <v>-0.0035</v>
      </c>
      <c r="I13" s="14">
        <v>0.5319</v>
      </c>
      <c r="J13" s="31">
        <v>30474</v>
      </c>
      <c r="K13" s="32">
        <v>2637.89</v>
      </c>
      <c r="L13" s="33">
        <v>26716</v>
      </c>
      <c r="M13" s="34">
        <v>39891.77</v>
      </c>
      <c r="N13" s="35">
        <v>39864.28</v>
      </c>
      <c r="O13" s="36">
        <v>3650</v>
      </c>
      <c r="P13" s="37">
        <v>0.0128</v>
      </c>
      <c r="Q13" s="36">
        <v>2737</v>
      </c>
      <c r="R13" s="14">
        <v>0.0096</v>
      </c>
      <c r="S13" s="36">
        <v>10803</v>
      </c>
      <c r="T13" s="37">
        <v>0.0379</v>
      </c>
      <c r="U13" s="30">
        <v>195618</v>
      </c>
      <c r="V13" s="14">
        <v>0.685</v>
      </c>
      <c r="W13" s="14">
        <v>0.6882</v>
      </c>
      <c r="X13" s="30">
        <v>26467</v>
      </c>
      <c r="Y13" s="14">
        <v>0.0928</v>
      </c>
      <c r="Z13" s="20">
        <v>27387</v>
      </c>
      <c r="AA13" s="14">
        <v>0.0959</v>
      </c>
    </row>
    <row r="14" spans="1:27">
      <c r="A14" s="27">
        <v>46184</v>
      </c>
      <c r="B14" s="28" t="s">
        <v>31</v>
      </c>
      <c r="C14" s="39">
        <v>-2058</v>
      </c>
      <c r="D14" s="40">
        <v>-0.12</v>
      </c>
      <c r="E14" s="30">
        <v>294246</v>
      </c>
      <c r="F14" s="30">
        <v>16964</v>
      </c>
      <c r="G14" s="30">
        <v>290808</v>
      </c>
      <c r="H14" s="14">
        <v>-0.0071</v>
      </c>
      <c r="I14" s="14">
        <v>0.5179</v>
      </c>
      <c r="J14" s="31">
        <v>31099</v>
      </c>
      <c r="K14" s="32">
        <v>2894.61</v>
      </c>
      <c r="L14" s="33">
        <v>27447</v>
      </c>
      <c r="M14" s="34">
        <v>40592.02</v>
      </c>
      <c r="N14" s="35">
        <v>40548.76</v>
      </c>
      <c r="O14" s="36">
        <v>2819</v>
      </c>
      <c r="P14" s="37">
        <v>0.0097</v>
      </c>
      <c r="Q14" s="36">
        <v>2888</v>
      </c>
      <c r="R14" s="14">
        <v>0.0099</v>
      </c>
      <c r="S14" s="36">
        <v>13400</v>
      </c>
      <c r="T14" s="37">
        <v>0.0461</v>
      </c>
      <c r="U14" s="30">
        <v>194854</v>
      </c>
      <c r="V14" s="14">
        <v>0.6696</v>
      </c>
      <c r="W14" s="14">
        <v>0.6754</v>
      </c>
      <c r="X14" s="30">
        <v>29566</v>
      </c>
      <c r="Y14" s="14">
        <v>0.1017</v>
      </c>
      <c r="Z14" s="20">
        <v>27280</v>
      </c>
      <c r="AA14" s="14">
        <v>0.0937</v>
      </c>
    </row>
    <row r="15" spans="1:27">
      <c r="A15" s="27">
        <v>46185</v>
      </c>
      <c r="B15" s="28" t="s">
        <v>32</v>
      </c>
      <c r="C15" s="39">
        <v>-153</v>
      </c>
      <c r="D15" s="40">
        <v>-0.01</v>
      </c>
      <c r="E15" s="30">
        <v>354362</v>
      </c>
      <c r="F15" s="30">
        <v>18068</v>
      </c>
      <c r="G15" s="30">
        <v>320975</v>
      </c>
      <c r="H15" s="14">
        <v>-0.0005</v>
      </c>
      <c r="I15" s="14">
        <v>0.4852</v>
      </c>
      <c r="J15" s="31">
        <v>33565</v>
      </c>
      <c r="K15" s="32">
        <v>2749.45</v>
      </c>
      <c r="L15" s="33">
        <v>29522</v>
      </c>
      <c r="M15" s="34">
        <v>44830.57</v>
      </c>
      <c r="N15" s="35">
        <v>44787.47</v>
      </c>
      <c r="O15" s="36">
        <v>2489</v>
      </c>
      <c r="P15" s="14">
        <v>0.0078</v>
      </c>
      <c r="Q15" s="36">
        <v>2556</v>
      </c>
      <c r="R15" s="14">
        <v>0.008</v>
      </c>
      <c r="S15" s="36">
        <v>11980</v>
      </c>
      <c r="T15" s="37">
        <v>0.0373</v>
      </c>
      <c r="U15" s="30">
        <v>224628</v>
      </c>
      <c r="V15" s="37">
        <v>0.6998</v>
      </c>
      <c r="W15" s="14">
        <v>0.696</v>
      </c>
      <c r="X15" s="30">
        <v>28261</v>
      </c>
      <c r="Y15" s="14">
        <v>0.088</v>
      </c>
      <c r="Z15" s="20">
        <v>31448</v>
      </c>
      <c r="AA15" s="37">
        <v>0.098</v>
      </c>
    </row>
    <row r="16" spans="1:27">
      <c r="A16" s="27">
        <v>46186</v>
      </c>
      <c r="B16" s="28" t="s">
        <v>33</v>
      </c>
      <c r="C16" s="20">
        <v>2445</v>
      </c>
      <c r="D16" s="29">
        <v>0.13</v>
      </c>
      <c r="E16" s="30">
        <v>403256</v>
      </c>
      <c r="F16" s="30">
        <v>18858</v>
      </c>
      <c r="G16" s="30">
        <v>327634</v>
      </c>
      <c r="H16" s="14">
        <v>0.0075</v>
      </c>
      <c r="I16" s="14">
        <v>0.492</v>
      </c>
      <c r="J16" s="31">
        <v>33595</v>
      </c>
      <c r="K16" s="32">
        <v>479.72</v>
      </c>
      <c r="L16" s="33">
        <v>29915</v>
      </c>
      <c r="M16" s="34">
        <v>45807.62</v>
      </c>
      <c r="N16" s="35">
        <v>45769.07</v>
      </c>
      <c r="O16" s="36">
        <v>2803</v>
      </c>
      <c r="P16" s="37">
        <v>0.0086</v>
      </c>
      <c r="Q16" s="36">
        <v>2708</v>
      </c>
      <c r="R16" s="14">
        <v>0.0083</v>
      </c>
      <c r="S16" s="36">
        <v>5950</v>
      </c>
      <c r="T16" s="14">
        <v>0.0182</v>
      </c>
      <c r="U16" s="30">
        <v>252529</v>
      </c>
      <c r="V16" s="37">
        <v>0.7708</v>
      </c>
      <c r="W16" s="14">
        <v>0.7701</v>
      </c>
      <c r="X16" s="30">
        <v>4588</v>
      </c>
      <c r="Y16" s="14">
        <v>0.014</v>
      </c>
      <c r="Z16" s="20">
        <v>35354</v>
      </c>
      <c r="AA16" s="37">
        <v>0.1079</v>
      </c>
    </row>
    <row r="17" spans="1:27">
      <c r="A17" s="27">
        <v>46187</v>
      </c>
      <c r="B17" s="28" t="s">
        <v>34</v>
      </c>
      <c r="C17" s="20">
        <v>5586</v>
      </c>
      <c r="D17" s="29">
        <v>0.35</v>
      </c>
      <c r="E17" s="30">
        <v>327451</v>
      </c>
      <c r="F17" s="30">
        <v>16100</v>
      </c>
      <c r="G17" s="30">
        <v>280577</v>
      </c>
      <c r="H17" s="14">
        <v>0.0199</v>
      </c>
      <c r="I17" s="14">
        <v>0.5062</v>
      </c>
      <c r="J17" s="31">
        <v>28862</v>
      </c>
      <c r="K17" s="32">
        <v>715.29</v>
      </c>
      <c r="L17" s="33">
        <v>28819</v>
      </c>
      <c r="M17" s="34">
        <v>39232.12</v>
      </c>
      <c r="N17" s="35">
        <v>39193.51</v>
      </c>
      <c r="O17" s="36">
        <v>2952</v>
      </c>
      <c r="P17" s="37">
        <v>0.0105</v>
      </c>
      <c r="Q17" s="36">
        <v>3244</v>
      </c>
      <c r="R17" s="37">
        <v>0.0116</v>
      </c>
      <c r="S17" s="36">
        <v>3717</v>
      </c>
      <c r="T17" s="14">
        <v>0.0132</v>
      </c>
      <c r="U17" s="30">
        <v>213160</v>
      </c>
      <c r="V17" s="37">
        <v>0.7597</v>
      </c>
      <c r="W17" s="14">
        <v>0.7595</v>
      </c>
      <c r="X17" s="30">
        <v>6242</v>
      </c>
      <c r="Y17" s="14">
        <v>0.0222</v>
      </c>
      <c r="Z17" s="20">
        <v>29842</v>
      </c>
      <c r="AA17" s="37">
        <v>0.1064</v>
      </c>
    </row>
    <row r="18" spans="1:27">
      <c r="A18" s="27">
        <v>46188</v>
      </c>
      <c r="B18" s="28" t="s">
        <v>28</v>
      </c>
      <c r="C18" s="39">
        <v>-5913</v>
      </c>
      <c r="D18" s="40">
        <v>-0.36</v>
      </c>
      <c r="E18" s="38">
        <v>293739</v>
      </c>
      <c r="F18" s="30">
        <v>16403</v>
      </c>
      <c r="G18" s="30">
        <v>281335</v>
      </c>
      <c r="H18" s="14">
        <v>-0.021</v>
      </c>
      <c r="I18" s="14">
        <v>0.5411</v>
      </c>
      <c r="J18" s="31">
        <v>30049</v>
      </c>
      <c r="K18" s="32">
        <v>3060.66</v>
      </c>
      <c r="L18" s="33">
        <v>26265</v>
      </c>
      <c r="M18" s="34">
        <v>39338.57</v>
      </c>
      <c r="N18" s="35">
        <v>39317.95</v>
      </c>
      <c r="O18" s="36">
        <v>2778</v>
      </c>
      <c r="P18" s="37">
        <v>0.0099</v>
      </c>
      <c r="Q18" s="36">
        <v>4547</v>
      </c>
      <c r="R18" s="37">
        <v>0.0162</v>
      </c>
      <c r="S18" s="36">
        <v>14912</v>
      </c>
      <c r="T18" s="37">
        <v>0.053</v>
      </c>
      <c r="U18" s="30">
        <v>190437</v>
      </c>
      <c r="V18" s="14">
        <v>0.6769</v>
      </c>
      <c r="W18" s="14">
        <v>0.6805</v>
      </c>
      <c r="X18" s="30">
        <v>29040</v>
      </c>
      <c r="Y18" s="14">
        <v>0.1032</v>
      </c>
      <c r="Z18" s="20">
        <v>26661</v>
      </c>
      <c r="AA18" s="14">
        <v>0.0948</v>
      </c>
    </row>
    <row r="19" spans="1:27">
      <c r="A19" s="27">
        <v>46189</v>
      </c>
      <c r="B19" s="28" t="s">
        <v>29</v>
      </c>
      <c r="C19" s="39">
        <v>-2819</v>
      </c>
      <c r="D19" s="40">
        <v>-0.16</v>
      </c>
      <c r="E19" s="30">
        <v>325056</v>
      </c>
      <c r="F19" s="30">
        <v>17283</v>
      </c>
      <c r="G19" s="30">
        <v>303153</v>
      </c>
      <c r="H19" s="14">
        <v>-0.0093</v>
      </c>
      <c r="I19" s="14">
        <v>0.5127</v>
      </c>
      <c r="J19" s="31">
        <v>32154</v>
      </c>
      <c r="K19" s="32">
        <v>3135.77</v>
      </c>
      <c r="L19" s="33">
        <v>26395</v>
      </c>
      <c r="M19" s="34">
        <v>42381.67</v>
      </c>
      <c r="N19" s="35">
        <v>42340.22</v>
      </c>
      <c r="O19" s="36">
        <v>2676</v>
      </c>
      <c r="P19" s="37">
        <v>0.0088</v>
      </c>
      <c r="Q19" s="36">
        <v>3340</v>
      </c>
      <c r="R19" s="37">
        <v>0.011</v>
      </c>
      <c r="S19" s="36">
        <v>12156</v>
      </c>
      <c r="T19" s="37">
        <v>0.0401</v>
      </c>
      <c r="U19" s="30">
        <v>205810</v>
      </c>
      <c r="V19" s="14">
        <v>0.6789</v>
      </c>
      <c r="W19" s="14">
        <v>0.6837</v>
      </c>
      <c r="X19" s="30">
        <v>29048</v>
      </c>
      <c r="Y19" s="14">
        <v>0.0958</v>
      </c>
      <c r="Z19" s="20">
        <v>28813</v>
      </c>
      <c r="AA19" s="14">
        <v>0.095</v>
      </c>
    </row>
    <row r="20" spans="1:27">
      <c r="A20" s="27">
        <v>46190</v>
      </c>
      <c r="B20" s="28" t="s">
        <v>30</v>
      </c>
      <c r="C20" s="20">
        <v>4545</v>
      </c>
      <c r="D20" s="29">
        <v>0.26</v>
      </c>
      <c r="E20" s="30">
        <v>357957</v>
      </c>
      <c r="F20" s="30">
        <v>17491</v>
      </c>
      <c r="G20" s="30">
        <v>310021</v>
      </c>
      <c r="H20" s="14">
        <v>0.0147</v>
      </c>
      <c r="I20" s="14">
        <v>0.431</v>
      </c>
      <c r="J20" s="31">
        <v>32581</v>
      </c>
      <c r="K20" s="32">
        <v>3092.72</v>
      </c>
      <c r="L20" s="33">
        <v>26862</v>
      </c>
      <c r="M20" s="34">
        <v>43355.5</v>
      </c>
      <c r="N20" s="35">
        <v>43282.97</v>
      </c>
      <c r="O20" s="36">
        <v>2125</v>
      </c>
      <c r="P20" s="14">
        <v>0.0069</v>
      </c>
      <c r="Q20" s="36">
        <v>2790</v>
      </c>
      <c r="R20" s="14">
        <v>0.009</v>
      </c>
      <c r="S20" s="36">
        <v>5703</v>
      </c>
      <c r="T20" s="14">
        <v>0.0184</v>
      </c>
      <c r="U20" s="30">
        <v>213282</v>
      </c>
      <c r="V20" s="14">
        <v>0.688</v>
      </c>
      <c r="W20" s="14">
        <v>0.6905</v>
      </c>
      <c r="X20" s="30">
        <v>29470</v>
      </c>
      <c r="Y20" s="14">
        <v>0.0951</v>
      </c>
      <c r="Z20" s="20">
        <v>29859</v>
      </c>
      <c r="AA20" s="14">
        <v>0.0963</v>
      </c>
    </row>
    <row r="21" spans="1:27">
      <c r="A21" s="27">
        <v>46191</v>
      </c>
      <c r="B21" s="28" t="s">
        <v>31</v>
      </c>
      <c r="C21" s="20">
        <v>6184</v>
      </c>
      <c r="D21" s="29">
        <v>0.32</v>
      </c>
      <c r="E21" s="30">
        <v>790648</v>
      </c>
      <c r="F21" s="30">
        <v>19086</v>
      </c>
      <c r="G21" s="30">
        <v>403829</v>
      </c>
      <c r="H21" s="14">
        <v>0.0153</v>
      </c>
      <c r="I21" s="14"/>
      <c r="J21" s="31">
        <v>34424</v>
      </c>
      <c r="K21" s="32">
        <v>12393.06</v>
      </c>
      <c r="L21" s="33">
        <v>28856</v>
      </c>
      <c r="M21" s="34">
        <v>56578.6</v>
      </c>
      <c r="N21" s="35">
        <v>56457.71</v>
      </c>
      <c r="O21" s="36">
        <v>2451</v>
      </c>
      <c r="P21" s="14">
        <v>0.0061</v>
      </c>
      <c r="Q21" s="36">
        <v>3119</v>
      </c>
      <c r="R21" s="14">
        <v>0.0077</v>
      </c>
      <c r="S21" s="36">
        <v>2689</v>
      </c>
      <c r="T21" s="14">
        <v>0.0067</v>
      </c>
      <c r="U21" s="30">
        <v>237137</v>
      </c>
      <c r="V21" s="14">
        <v>0.5872</v>
      </c>
      <c r="W21" s="14">
        <v>0.5824</v>
      </c>
      <c r="X21" s="30">
        <v>106948</v>
      </c>
      <c r="Y21" s="37">
        <v>0.2648</v>
      </c>
      <c r="Z21" s="20">
        <v>33199</v>
      </c>
      <c r="AA21" s="14">
        <v>0.0822</v>
      </c>
    </row>
    <row r="22" spans="1:27">
      <c r="A22" s="27">
        <v>46192</v>
      </c>
      <c r="B22" s="28" t="s">
        <v>32</v>
      </c>
      <c r="C22" s="20">
        <v>6394</v>
      </c>
      <c r="D22" s="29">
        <v>0.28</v>
      </c>
      <c r="E22" s="41">
        <v>1578121</v>
      </c>
      <c r="F22" s="41">
        <v>23172</v>
      </c>
      <c r="G22" s="30">
        <v>493699</v>
      </c>
      <c r="H22" s="14">
        <v>0.013</v>
      </c>
      <c r="I22" s="14"/>
      <c r="J22" s="31">
        <v>39304</v>
      </c>
      <c r="K22" s="32">
        <v>23198.39</v>
      </c>
      <c r="L22" s="33">
        <v>24889</v>
      </c>
      <c r="M22" s="34">
        <v>69190.13</v>
      </c>
      <c r="N22" s="35">
        <v>69081.78</v>
      </c>
      <c r="O22" s="36">
        <v>2410</v>
      </c>
      <c r="P22" s="14">
        <v>0.0049</v>
      </c>
      <c r="Q22" s="36">
        <v>3336</v>
      </c>
      <c r="R22" s="14">
        <v>0.0068</v>
      </c>
      <c r="S22" s="36">
        <v>393</v>
      </c>
      <c r="T22" s="14">
        <v>0.0008</v>
      </c>
      <c r="U22" s="30">
        <v>224835</v>
      </c>
      <c r="V22" s="14">
        <v>0.4554</v>
      </c>
      <c r="W22" s="42">
        <v>0.4554</v>
      </c>
      <c r="X22" s="30">
        <v>201215</v>
      </c>
      <c r="Y22" s="37">
        <v>0.4076</v>
      </c>
      <c r="Z22" s="20">
        <v>31477</v>
      </c>
      <c r="AA22" s="14">
        <v>0.0638</v>
      </c>
    </row>
    <row r="23" spans="1:27">
      <c r="A23" s="27">
        <v>46193</v>
      </c>
      <c r="B23" s="28" t="s">
        <v>33</v>
      </c>
      <c r="C23" s="20">
        <v>11940</v>
      </c>
      <c r="D23" s="29">
        <v>0.68</v>
      </c>
      <c r="E23" s="30">
        <v>491233</v>
      </c>
      <c r="F23" s="30">
        <v>17671</v>
      </c>
      <c r="G23" s="30">
        <v>313491</v>
      </c>
      <c r="H23" s="14">
        <v>0.0381</v>
      </c>
      <c r="I23" s="14"/>
      <c r="J23" s="31">
        <v>28749</v>
      </c>
      <c r="K23" s="32">
        <v>7951.25</v>
      </c>
      <c r="L23" s="33">
        <v>26834</v>
      </c>
      <c r="M23" s="34">
        <v>43849.98</v>
      </c>
      <c r="N23" s="35">
        <v>43845.09</v>
      </c>
      <c r="O23" s="36">
        <v>2395</v>
      </c>
      <c r="P23" s="14">
        <v>0.0076</v>
      </c>
      <c r="Q23" s="36">
        <v>20</v>
      </c>
      <c r="R23" s="14">
        <v>0.0001</v>
      </c>
      <c r="S23" s="36">
        <v>1284</v>
      </c>
      <c r="T23" s="14">
        <v>0.0041</v>
      </c>
      <c r="U23" s="30">
        <v>195182</v>
      </c>
      <c r="V23" s="14">
        <v>0.6226</v>
      </c>
      <c r="W23" s="14">
        <v>0.6208</v>
      </c>
      <c r="X23" s="30">
        <v>69445</v>
      </c>
      <c r="Y23" s="37">
        <v>0.2215</v>
      </c>
      <c r="Z23" s="20">
        <v>27326</v>
      </c>
      <c r="AA23" s="14">
        <v>0.0872</v>
      </c>
    </row>
    <row r="24" spans="1:27">
      <c r="A24" s="27">
        <v>46194</v>
      </c>
      <c r="B24" s="28" t="s">
        <v>34</v>
      </c>
      <c r="C24" s="39">
        <v>-610</v>
      </c>
      <c r="D24" s="40">
        <v>-0.03</v>
      </c>
      <c r="E24" s="30">
        <v>823251</v>
      </c>
      <c r="F24" s="30">
        <v>20895</v>
      </c>
      <c r="G24" s="30">
        <v>400331</v>
      </c>
      <c r="H24" s="14">
        <v>-0.0015</v>
      </c>
      <c r="I24" s="14"/>
      <c r="J24" s="31">
        <v>38607</v>
      </c>
      <c r="K24" s="32">
        <v>7746.18</v>
      </c>
      <c r="L24" s="33">
        <v>28531</v>
      </c>
      <c r="M24" s="34">
        <v>56025.44</v>
      </c>
      <c r="N24" s="35">
        <v>55952.16</v>
      </c>
      <c r="O24" s="36">
        <v>6199</v>
      </c>
      <c r="P24" s="37">
        <v>0.0155</v>
      </c>
      <c r="Q24" s="36">
        <v>7086</v>
      </c>
      <c r="R24" s="37">
        <v>0.0177</v>
      </c>
      <c r="S24" s="36">
        <v>1282</v>
      </c>
      <c r="T24" s="14">
        <v>0.0032</v>
      </c>
      <c r="U24" s="30">
        <v>253060</v>
      </c>
      <c r="V24" s="14">
        <v>0.6321</v>
      </c>
      <c r="W24" s="14">
        <v>0.6339</v>
      </c>
      <c r="X24" s="30">
        <v>66808</v>
      </c>
      <c r="Y24" s="37">
        <v>0.1669</v>
      </c>
      <c r="Z24" s="20">
        <v>35428</v>
      </c>
      <c r="AA24" s="14">
        <v>0.0885</v>
      </c>
    </row>
    <row r="25" spans="1:27">
      <c r="A25" s="27">
        <v>46195</v>
      </c>
      <c r="B25" s="28" t="s">
        <v>28</v>
      </c>
      <c r="C25" s="20">
        <v>5341</v>
      </c>
      <c r="D25" s="29">
        <v>0.24</v>
      </c>
      <c r="E25" s="30">
        <v>755066</v>
      </c>
      <c r="F25" s="30">
        <v>22222</v>
      </c>
      <c r="G25" s="30">
        <v>402220</v>
      </c>
      <c r="H25" s="14">
        <v>0.0133</v>
      </c>
      <c r="I25" s="14">
        <v>0.2711</v>
      </c>
      <c r="J25" s="31">
        <v>39188</v>
      </c>
      <c r="K25" s="32">
        <v>8182.38</v>
      </c>
      <c r="L25" s="33">
        <v>29757</v>
      </c>
      <c r="M25" s="34">
        <v>56240.16</v>
      </c>
      <c r="N25" s="35">
        <v>56164.7</v>
      </c>
      <c r="O25" s="36">
        <v>1846</v>
      </c>
      <c r="P25" s="14">
        <v>0.0046</v>
      </c>
      <c r="Q25" s="36">
        <v>3865</v>
      </c>
      <c r="R25" s="14">
        <v>0.0096</v>
      </c>
      <c r="S25" s="36">
        <v>4724</v>
      </c>
      <c r="T25" s="14">
        <v>0.0117</v>
      </c>
      <c r="U25" s="30">
        <v>250814</v>
      </c>
      <c r="V25" s="14">
        <v>0.6235</v>
      </c>
      <c r="W25" s="14">
        <v>0.6434</v>
      </c>
      <c r="X25" s="30">
        <v>68544</v>
      </c>
      <c r="Y25" s="37">
        <v>0.1704</v>
      </c>
      <c r="Z25" s="20">
        <v>35114</v>
      </c>
      <c r="AA25" s="14">
        <v>0.0873</v>
      </c>
    </row>
    <row r="26" spans="1:27">
      <c r="A26" s="27">
        <v>46196</v>
      </c>
      <c r="B26" s="28" t="s">
        <v>29</v>
      </c>
      <c r="C26" s="20">
        <v>4821</v>
      </c>
      <c r="D26" s="29">
        <v>0.25</v>
      </c>
      <c r="E26" s="30">
        <v>407527</v>
      </c>
      <c r="F26" s="30">
        <v>19300</v>
      </c>
      <c r="G26" s="30">
        <v>331415</v>
      </c>
      <c r="H26" s="14">
        <v>0.0145</v>
      </c>
      <c r="I26" s="14">
        <v>0.4334</v>
      </c>
      <c r="J26" s="31">
        <v>33986</v>
      </c>
      <c r="K26" s="32">
        <v>3966.22</v>
      </c>
      <c r="L26" s="33">
        <v>30800</v>
      </c>
      <c r="M26" s="34">
        <v>46372.23</v>
      </c>
      <c r="N26" s="35">
        <v>46260.26</v>
      </c>
      <c r="O26" s="36">
        <v>1657</v>
      </c>
      <c r="P26" s="14">
        <v>0.005</v>
      </c>
      <c r="Q26" s="36">
        <v>4713</v>
      </c>
      <c r="R26" s="37">
        <v>0.0142</v>
      </c>
      <c r="S26" s="36">
        <v>6834</v>
      </c>
      <c r="T26" s="14">
        <v>0.0206</v>
      </c>
      <c r="U26" s="30">
        <v>228020</v>
      </c>
      <c r="V26" s="14">
        <v>0.688</v>
      </c>
      <c r="W26" s="14">
        <v>0.6946</v>
      </c>
      <c r="X26" s="30">
        <v>34433</v>
      </c>
      <c r="Y26" s="14">
        <v>0.1039</v>
      </c>
      <c r="Z26" s="20">
        <v>31923</v>
      </c>
      <c r="AA26" s="14">
        <v>0.0963</v>
      </c>
    </row>
    <row r="27" spans="1:27">
      <c r="A27" s="27">
        <v>46197</v>
      </c>
      <c r="B27" s="28" t="s">
        <v>30</v>
      </c>
      <c r="C27" s="20">
        <v>1332</v>
      </c>
      <c r="D27" s="29">
        <v>0.07</v>
      </c>
      <c r="E27" s="30">
        <v>311625</v>
      </c>
      <c r="F27" s="30">
        <v>18399</v>
      </c>
      <c r="G27" s="30">
        <v>316094</v>
      </c>
      <c r="H27" s="14">
        <v>0.0042</v>
      </c>
      <c r="I27" s="14">
        <v>0.501</v>
      </c>
      <c r="J27" s="31">
        <v>32511</v>
      </c>
      <c r="K27" s="32">
        <v>3199.8</v>
      </c>
      <c r="L27" s="33">
        <v>30739</v>
      </c>
      <c r="M27" s="34">
        <v>44222.59</v>
      </c>
      <c r="N27" s="35">
        <v>44187.16</v>
      </c>
      <c r="O27" s="36">
        <v>1829</v>
      </c>
      <c r="P27" s="14">
        <v>0.0058</v>
      </c>
      <c r="Q27" s="36">
        <v>5162</v>
      </c>
      <c r="R27" s="37">
        <v>0.0163</v>
      </c>
      <c r="S27" s="36">
        <v>9747</v>
      </c>
      <c r="T27" s="37">
        <v>0.0308</v>
      </c>
      <c r="U27" s="30">
        <v>222837</v>
      </c>
      <c r="V27" s="37">
        <v>0.705</v>
      </c>
      <c r="W27" s="14">
        <v>0.7059</v>
      </c>
      <c r="X27" s="30">
        <v>27819</v>
      </c>
      <c r="Y27" s="14">
        <v>0.088</v>
      </c>
      <c r="Z27" s="20">
        <v>31197</v>
      </c>
      <c r="AA27" s="37">
        <v>0.0987</v>
      </c>
    </row>
    <row r="28" spans="1:27">
      <c r="A28" s="27">
        <v>46198</v>
      </c>
      <c r="B28" s="28" t="s">
        <v>31</v>
      </c>
      <c r="C28" s="20">
        <v>3450</v>
      </c>
      <c r="D28" s="29">
        <v>0.19</v>
      </c>
      <c r="E28" s="30">
        <v>312479</v>
      </c>
      <c r="F28" s="30">
        <v>18323</v>
      </c>
      <c r="G28" s="30">
        <v>319191</v>
      </c>
      <c r="H28" s="14">
        <v>0.0108</v>
      </c>
      <c r="I28" s="14">
        <v>0.4979</v>
      </c>
      <c r="J28" s="31">
        <v>32529</v>
      </c>
      <c r="K28" s="32">
        <v>3087.52</v>
      </c>
      <c r="L28" s="33">
        <v>30090</v>
      </c>
      <c r="M28" s="34">
        <v>44671.43</v>
      </c>
      <c r="N28" s="35">
        <v>44604.31</v>
      </c>
      <c r="O28" s="36">
        <v>2191</v>
      </c>
      <c r="P28" s="14">
        <v>0.0069</v>
      </c>
      <c r="Q28" s="36">
        <v>3660</v>
      </c>
      <c r="R28" s="37">
        <v>0.0115</v>
      </c>
      <c r="S28" s="36">
        <v>7572</v>
      </c>
      <c r="T28" s="37">
        <v>0.0237</v>
      </c>
      <c r="U28" s="30">
        <v>227101</v>
      </c>
      <c r="V28" s="37">
        <v>0.7115</v>
      </c>
      <c r="W28" s="14">
        <v>0.7086</v>
      </c>
      <c r="X28" s="30">
        <v>26855</v>
      </c>
      <c r="Y28" s="14">
        <v>0.0841</v>
      </c>
      <c r="Z28" s="20">
        <v>31794</v>
      </c>
      <c r="AA28" s="37">
        <v>0.0996</v>
      </c>
    </row>
    <row r="29" spans="1:27">
      <c r="A29" s="27">
        <v>46199</v>
      </c>
      <c r="B29" s="28" t="s">
        <v>32</v>
      </c>
      <c r="C29" s="20">
        <v>3721</v>
      </c>
      <c r="D29" s="29">
        <v>0.18</v>
      </c>
      <c r="E29" s="30">
        <v>456201</v>
      </c>
      <c r="F29" s="30">
        <v>20811</v>
      </c>
      <c r="G29" s="30">
        <v>383283</v>
      </c>
      <c r="H29" s="14">
        <v>0.0097</v>
      </c>
      <c r="I29" s="14">
        <v>0.4018</v>
      </c>
      <c r="J29" s="31">
        <v>36491</v>
      </c>
      <c r="K29" s="32">
        <v>3101.38</v>
      </c>
      <c r="L29" s="33">
        <v>33473</v>
      </c>
      <c r="M29" s="34">
        <v>53679.12</v>
      </c>
      <c r="N29" s="35">
        <v>53545.84</v>
      </c>
      <c r="O29" s="36">
        <v>2151</v>
      </c>
      <c r="P29" s="14">
        <v>0.0056</v>
      </c>
      <c r="Q29" s="36">
        <v>3291</v>
      </c>
      <c r="R29" s="14">
        <v>0.0086</v>
      </c>
      <c r="S29" s="36">
        <v>5402</v>
      </c>
      <c r="T29" s="14">
        <v>0.0141</v>
      </c>
      <c r="U29" s="30">
        <v>284120</v>
      </c>
      <c r="V29" s="37">
        <v>0.7413</v>
      </c>
      <c r="W29" s="14">
        <v>0.7396</v>
      </c>
      <c r="X29" s="30">
        <v>26595</v>
      </c>
      <c r="Y29" s="14">
        <v>0.0694</v>
      </c>
      <c r="Z29" s="20">
        <v>39777</v>
      </c>
      <c r="AA29" s="37">
        <v>0.1038</v>
      </c>
    </row>
    <row r="30" spans="1:27">
      <c r="A30" s="27">
        <v>46200</v>
      </c>
      <c r="B30" s="28" t="s">
        <v>33</v>
      </c>
      <c r="C30" s="20">
        <v>7962</v>
      </c>
      <c r="D30" s="29">
        <v>0.37</v>
      </c>
      <c r="E30" s="30">
        <v>535841</v>
      </c>
      <c r="F30" s="30">
        <v>21760</v>
      </c>
      <c r="G30" s="30">
        <v>377066</v>
      </c>
      <c r="H30" s="14">
        <v>0.0211</v>
      </c>
      <c r="I30" s="14">
        <v>0.4406</v>
      </c>
      <c r="J30" s="31">
        <v>37754</v>
      </c>
      <c r="K30" s="32">
        <v>164.62</v>
      </c>
      <c r="L30" s="33">
        <v>35454</v>
      </c>
      <c r="M30" s="34">
        <v>52803.67</v>
      </c>
      <c r="N30" s="35">
        <v>52793.57</v>
      </c>
      <c r="O30" s="36">
        <v>2201</v>
      </c>
      <c r="P30" s="14">
        <v>0.0058</v>
      </c>
      <c r="Q30" s="36">
        <v>3056</v>
      </c>
      <c r="R30" s="14">
        <v>0.0081</v>
      </c>
      <c r="S30" s="36">
        <v>2481</v>
      </c>
      <c r="T30" s="14">
        <v>0.0066</v>
      </c>
      <c r="U30" s="30">
        <v>301144</v>
      </c>
      <c r="V30" s="37">
        <v>0.798</v>
      </c>
      <c r="W30" s="14">
        <v>0.8051</v>
      </c>
      <c r="X30" s="30">
        <v>1358</v>
      </c>
      <c r="Y30" s="14">
        <v>0.0036</v>
      </c>
      <c r="Z30" s="20">
        <v>42160</v>
      </c>
      <c r="AA30" s="37">
        <v>0.1117</v>
      </c>
    </row>
    <row r="31" spans="1:27">
      <c r="A31" s="27">
        <v>46201</v>
      </c>
      <c r="B31" s="28" t="s">
        <v>34</v>
      </c>
      <c r="C31" s="20">
        <v>8124</v>
      </c>
      <c r="D31" s="29">
        <v>0.43</v>
      </c>
      <c r="E31" s="30">
        <v>411982</v>
      </c>
      <c r="F31" s="30">
        <v>18706</v>
      </c>
      <c r="G31" s="30">
        <v>324441</v>
      </c>
      <c r="H31" s="14">
        <v>0.025</v>
      </c>
      <c r="I31" s="14">
        <v>0.4746</v>
      </c>
      <c r="J31" s="31">
        <v>31521</v>
      </c>
      <c r="K31" s="32">
        <v>551.75</v>
      </c>
      <c r="L31" s="33">
        <v>34025</v>
      </c>
      <c r="M31" s="34">
        <v>45398.48</v>
      </c>
      <c r="N31" s="35">
        <v>45390.95</v>
      </c>
      <c r="O31" s="36">
        <v>2624</v>
      </c>
      <c r="P31" s="37">
        <v>0.0081</v>
      </c>
      <c r="Q31" s="36">
        <v>4289</v>
      </c>
      <c r="R31" s="37">
        <v>0.0132</v>
      </c>
      <c r="S31" s="36">
        <v>1425</v>
      </c>
      <c r="T31" s="14">
        <v>0.0044</v>
      </c>
      <c r="U31" s="30">
        <v>259641</v>
      </c>
      <c r="V31" s="37">
        <v>0.8001</v>
      </c>
      <c r="W31" s="14">
        <v>0.7996</v>
      </c>
      <c r="X31" s="30">
        <v>4671</v>
      </c>
      <c r="Y31" s="14">
        <v>0.0144</v>
      </c>
      <c r="Z31" s="20">
        <v>36350</v>
      </c>
      <c r="AA31" s="37">
        <v>0.112</v>
      </c>
    </row>
    <row r="32" spans="1:27">
      <c r="A32" s="27">
        <v>46202</v>
      </c>
      <c r="B32" s="28" t="s">
        <v>28</v>
      </c>
      <c r="C32" s="20">
        <v>2958</v>
      </c>
      <c r="D32" s="29">
        <v>0.17</v>
      </c>
      <c r="E32" s="30">
        <v>335780</v>
      </c>
      <c r="F32" s="30">
        <v>17838</v>
      </c>
      <c r="G32" s="30">
        <v>310283</v>
      </c>
      <c r="H32" s="14">
        <v>0.0095</v>
      </c>
      <c r="I32" s="14">
        <v>0.5251</v>
      </c>
      <c r="J32" s="31">
        <v>30136</v>
      </c>
      <c r="K32" s="32">
        <v>3424.9</v>
      </c>
      <c r="L32" s="33">
        <v>30983</v>
      </c>
      <c r="M32" s="34">
        <v>43387.29</v>
      </c>
      <c r="N32" s="35">
        <v>43333.47</v>
      </c>
      <c r="O32" s="36">
        <v>1948</v>
      </c>
      <c r="P32" s="14">
        <v>0.0063</v>
      </c>
      <c r="Q32" s="36">
        <v>5578</v>
      </c>
      <c r="R32" s="37">
        <v>0.018</v>
      </c>
      <c r="S32" s="36">
        <v>6613</v>
      </c>
      <c r="T32" s="14">
        <v>0.0213</v>
      </c>
      <c r="U32" s="30">
        <v>218516</v>
      </c>
      <c r="V32" s="37">
        <v>0.7042</v>
      </c>
      <c r="W32" s="14">
        <v>0.7143</v>
      </c>
      <c r="X32" s="30">
        <v>29625</v>
      </c>
      <c r="Y32" s="14">
        <v>0.0955</v>
      </c>
      <c r="Z32" s="20">
        <v>30592</v>
      </c>
      <c r="AA32" s="37">
        <v>0.0986</v>
      </c>
    </row>
    <row r="33" spans="1:27">
      <c r="A33" s="27">
        <v>46203</v>
      </c>
      <c r="B33" s="28" t="s">
        <v>29</v>
      </c>
      <c r="C33" s="20">
        <v>6130</v>
      </c>
      <c r="D33" s="29">
        <v>0.33</v>
      </c>
      <c r="E33" s="30">
        <v>402826</v>
      </c>
      <c r="F33" s="30">
        <v>18535</v>
      </c>
      <c r="G33" s="30">
        <v>329253</v>
      </c>
      <c r="H33" s="14">
        <v>0.0186</v>
      </c>
      <c r="I33" s="14">
        <v>0.4868</v>
      </c>
      <c r="J33" s="31">
        <v>34058</v>
      </c>
      <c r="K33" s="32">
        <v>3320.64</v>
      </c>
      <c r="L33" s="33">
        <v>30254</v>
      </c>
      <c r="M33" s="34">
        <v>46006.92</v>
      </c>
      <c r="N33" s="35">
        <v>45916.58</v>
      </c>
      <c r="O33" s="36">
        <v>1926</v>
      </c>
      <c r="P33" s="14">
        <v>0.0059</v>
      </c>
      <c r="Q33" s="36">
        <v>4262</v>
      </c>
      <c r="R33" s="37">
        <v>0.0129</v>
      </c>
      <c r="S33" s="36">
        <v>5075</v>
      </c>
      <c r="T33" s="14">
        <v>0.0154</v>
      </c>
      <c r="U33" s="30">
        <v>224084</v>
      </c>
      <c r="V33" s="14">
        <v>0.6805</v>
      </c>
      <c r="W33" s="14">
        <v>0.6828</v>
      </c>
      <c r="X33" s="30">
        <v>31591</v>
      </c>
      <c r="Y33" s="14">
        <v>0.0959</v>
      </c>
      <c r="Z33" s="20">
        <v>31372</v>
      </c>
      <c r="AA33" s="14">
        <v>0.0953</v>
      </c>
    </row>
  </sheetData>
  <sheetProtection formatCells="0" formatColumns="0" formatRows="0" insertRows="0" insertColumns="0" insertHyperlinks="0" deleteColumns="0" deleteRows="0" sort="0" autoFilter="0" pivotTables="0"/>
  <mergeCells count="11">
    <mergeCell ref="A3:B3"/>
    <mergeCell ref="D2:D3"/>
    <mergeCell ref="H2:H3"/>
    <mergeCell ref="I2:I3"/>
    <mergeCell ref="P2:P3"/>
    <mergeCell ref="R2:R3"/>
    <mergeCell ref="T2:T3"/>
    <mergeCell ref="V2:V3"/>
    <mergeCell ref="W2:W3"/>
    <mergeCell ref="Y2:Y3"/>
    <mergeCell ref="AA2:AA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11.3307692307692" defaultRowHeight="14.5"/>
  <cols>
    <col min="1" max="1" width="16.8923076923077" style="1" customWidth="1"/>
    <col min="2" max="16384" width="11.3307692307692" style="1"/>
  </cols>
  <sheetData>
    <row r="1" spans="1:27">
      <c r="A1" s="2" t="s">
        <v>36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10" t="s">
        <v>13</v>
      </c>
      <c r="O1" s="8" t="s">
        <v>14</v>
      </c>
      <c r="P1" s="11" t="s">
        <v>15</v>
      </c>
      <c r="Q1" s="8" t="s">
        <v>16</v>
      </c>
      <c r="R1" s="11" t="s">
        <v>17</v>
      </c>
      <c r="S1" s="8" t="s">
        <v>18</v>
      </c>
      <c r="T1" s="11" t="s">
        <v>19</v>
      </c>
      <c r="U1" s="5" t="s">
        <v>20</v>
      </c>
      <c r="V1" s="10" t="s">
        <v>21</v>
      </c>
      <c r="W1" s="6" t="s">
        <v>22</v>
      </c>
      <c r="X1" s="10" t="s">
        <v>23</v>
      </c>
      <c r="Y1" s="10" t="s">
        <v>24</v>
      </c>
      <c r="Z1" s="5" t="s">
        <v>25</v>
      </c>
      <c r="AA1" s="11" t="s">
        <v>26</v>
      </c>
    </row>
    <row r="2" ht="19.5" customHeight="1" spans="1:27">
      <c r="A2" s="12">
        <v>45325</v>
      </c>
      <c r="B2" s="13">
        <v>35500</v>
      </c>
      <c r="C2" s="14">
        <v>1.2767</v>
      </c>
      <c r="D2" s="15">
        <v>0.46</v>
      </c>
      <c r="E2" s="16">
        <f t="shared" ref="E2:G2" si="0">SUM(E4:E33)</f>
        <v>1959142</v>
      </c>
      <c r="F2" s="16">
        <f t="shared" si="0"/>
        <v>99145</v>
      </c>
      <c r="G2" s="16">
        <f t="shared" si="0"/>
        <v>1589013</v>
      </c>
      <c r="H2" s="17">
        <f>AVERAGE(H4:H33)</f>
        <v>0.03014</v>
      </c>
      <c r="I2" s="17">
        <f>AVERAGE(I4:I33)</f>
        <v>0.418715384615385</v>
      </c>
      <c r="J2" s="18">
        <f t="shared" ref="J2:O2" si="1">SUM(J4:J33)</f>
        <v>160521</v>
      </c>
      <c r="K2" s="18">
        <f t="shared" si="1"/>
        <v>24702.03</v>
      </c>
      <c r="L2" s="18">
        <f t="shared" si="1"/>
        <v>182983</v>
      </c>
      <c r="M2" s="19">
        <f t="shared" si="1"/>
        <v>222485.79</v>
      </c>
      <c r="N2" s="19">
        <f t="shared" si="1"/>
        <v>222022.63</v>
      </c>
      <c r="O2" s="19">
        <f t="shared" si="1"/>
        <v>4125</v>
      </c>
      <c r="P2" s="17">
        <f t="shared" ref="P2:T2" si="2">AVERAGE(P4:P33)</f>
        <v>0.00262333333333333</v>
      </c>
      <c r="Q2" s="20">
        <f t="shared" ref="Q2:U2" si="3">SUM(Q4:Q33)</f>
        <v>34728</v>
      </c>
      <c r="R2" s="17">
        <f t="shared" si="2"/>
        <v>0.02207</v>
      </c>
      <c r="S2" s="20">
        <f t="shared" si="3"/>
        <v>36889</v>
      </c>
      <c r="T2" s="17">
        <f t="shared" si="2"/>
        <v>0.0243633333333333</v>
      </c>
      <c r="U2" s="16">
        <f t="shared" si="3"/>
        <v>1057624</v>
      </c>
      <c r="V2" s="17">
        <f t="shared" ref="V2:Y2" si="4">AVERAGE(V4:V33)</f>
        <v>0.66756</v>
      </c>
      <c r="W2" s="21">
        <f t="shared" si="4"/>
        <v>0.672163333333333</v>
      </c>
      <c r="X2" s="16">
        <f>SUM(X4:X33)</f>
        <v>184822</v>
      </c>
      <c r="Y2" s="17">
        <f t="shared" si="4"/>
        <v>0.108556666666667</v>
      </c>
      <c r="Z2" s="20">
        <f>SUM(Z4:Z33)</f>
        <v>148067</v>
      </c>
      <c r="AA2" s="17">
        <f>AVERAGE(AA4:AA33)</f>
        <v>0.09346</v>
      </c>
    </row>
    <row r="3" ht="19.5" customHeight="1" spans="1:27">
      <c r="A3" s="22" t="s">
        <v>27</v>
      </c>
      <c r="B3" s="22"/>
      <c r="C3" s="23">
        <v>1546</v>
      </c>
      <c r="D3" s="15"/>
      <c r="E3" s="24">
        <f t="shared" ref="E3:G3" si="5">AVERAGE(E4:E33)</f>
        <v>65304.7333333333</v>
      </c>
      <c r="F3" s="24">
        <f t="shared" si="5"/>
        <v>3304.83333333333</v>
      </c>
      <c r="G3" s="24">
        <f t="shared" si="5"/>
        <v>52967.1</v>
      </c>
      <c r="H3" s="17"/>
      <c r="I3" s="17"/>
      <c r="J3" s="25">
        <f t="shared" ref="J3:O3" si="6">AVERAGE(J4:J33)</f>
        <v>5350.7</v>
      </c>
      <c r="K3" s="25">
        <f t="shared" si="6"/>
        <v>823.401</v>
      </c>
      <c r="L3" s="25">
        <f t="shared" si="6"/>
        <v>6099.43333333333</v>
      </c>
      <c r="M3" s="26">
        <f t="shared" si="6"/>
        <v>7416.193</v>
      </c>
      <c r="N3" s="26">
        <f t="shared" si="6"/>
        <v>7400.75433333334</v>
      </c>
      <c r="O3" s="23">
        <f t="shared" si="6"/>
        <v>137.5</v>
      </c>
      <c r="P3" s="17"/>
      <c r="Q3" s="23">
        <f t="shared" ref="Q3:U3" si="7">AVERAGE(Q4:Q33)</f>
        <v>1157.6</v>
      </c>
      <c r="R3" s="17"/>
      <c r="S3" s="23">
        <f t="shared" si="7"/>
        <v>1229.63333333333</v>
      </c>
      <c r="T3" s="17"/>
      <c r="U3" s="24">
        <f t="shared" si="7"/>
        <v>35254.1333333333</v>
      </c>
      <c r="V3" s="17"/>
      <c r="W3" s="21"/>
      <c r="X3" s="24">
        <f>AVERAGE(X4:X33)</f>
        <v>6160.73333333333</v>
      </c>
      <c r="Y3" s="17"/>
      <c r="Z3" s="23">
        <f>AVERAGE(Z4:Z33)</f>
        <v>4935.56666666667</v>
      </c>
      <c r="AA3" s="17"/>
    </row>
    <row r="4" spans="1:27">
      <c r="A4" s="27">
        <v>46174</v>
      </c>
      <c r="B4" s="28" t="s">
        <v>28</v>
      </c>
      <c r="C4" s="39">
        <v>-81</v>
      </c>
      <c r="D4" s="40">
        <v>-0.03</v>
      </c>
      <c r="E4" s="30">
        <v>46352</v>
      </c>
      <c r="F4" s="30">
        <v>2684</v>
      </c>
      <c r="G4" s="30">
        <v>43097</v>
      </c>
      <c r="H4" s="14">
        <v>-0.0019</v>
      </c>
      <c r="I4" s="14">
        <v>0.4259</v>
      </c>
      <c r="J4" s="31">
        <v>4605</v>
      </c>
      <c r="K4" s="32">
        <v>592.78</v>
      </c>
      <c r="L4" s="33">
        <v>5205</v>
      </c>
      <c r="M4" s="34">
        <v>6029.42</v>
      </c>
      <c r="N4" s="35">
        <v>6029.42</v>
      </c>
      <c r="O4" s="36">
        <v>241</v>
      </c>
      <c r="P4" s="37">
        <v>0.0056</v>
      </c>
      <c r="Q4" s="36">
        <v>2167</v>
      </c>
      <c r="R4" s="37">
        <v>0.0503</v>
      </c>
      <c r="S4" s="36">
        <v>1365</v>
      </c>
      <c r="T4" s="37">
        <v>0.0317</v>
      </c>
      <c r="U4" s="30">
        <v>27911</v>
      </c>
      <c r="V4" s="14">
        <v>0.6476</v>
      </c>
      <c r="W4" s="14">
        <v>0.6472</v>
      </c>
      <c r="X4" s="30">
        <v>4424</v>
      </c>
      <c r="Y4" s="37">
        <v>0.1026</v>
      </c>
      <c r="Z4" s="20">
        <v>3908</v>
      </c>
      <c r="AA4" s="14">
        <v>0.0907</v>
      </c>
    </row>
    <row r="5" spans="1:27">
      <c r="A5" s="27">
        <v>46175</v>
      </c>
      <c r="B5" s="28" t="s">
        <v>29</v>
      </c>
      <c r="C5" s="20">
        <v>1270</v>
      </c>
      <c r="D5" s="29">
        <v>0.47</v>
      </c>
      <c r="E5" s="30">
        <v>40296</v>
      </c>
      <c r="F5" s="30">
        <v>2704</v>
      </c>
      <c r="G5" s="30">
        <v>42906</v>
      </c>
      <c r="H5" s="14">
        <v>0.0296</v>
      </c>
      <c r="I5" s="14">
        <v>0.4704</v>
      </c>
      <c r="J5" s="31">
        <v>4834</v>
      </c>
      <c r="K5" s="32">
        <v>556.7</v>
      </c>
      <c r="L5" s="33">
        <v>5150</v>
      </c>
      <c r="M5" s="34">
        <v>6011.14</v>
      </c>
      <c r="N5" s="35">
        <v>5994.8</v>
      </c>
      <c r="O5" s="36">
        <v>131</v>
      </c>
      <c r="P5" s="37">
        <v>0.0031</v>
      </c>
      <c r="Q5" s="36">
        <v>1172</v>
      </c>
      <c r="R5" s="37">
        <v>0.0273</v>
      </c>
      <c r="S5" s="36">
        <v>1269</v>
      </c>
      <c r="T5" s="37">
        <v>0.0296</v>
      </c>
      <c r="U5" s="30">
        <v>27313</v>
      </c>
      <c r="V5" s="14">
        <v>0.6366</v>
      </c>
      <c r="W5" s="14">
        <v>0.6354</v>
      </c>
      <c r="X5" s="30">
        <v>4190</v>
      </c>
      <c r="Y5" s="14">
        <v>0.0977</v>
      </c>
      <c r="Z5" s="20">
        <v>3824</v>
      </c>
      <c r="AA5" s="14">
        <v>0.0891</v>
      </c>
    </row>
    <row r="6" spans="1:27">
      <c r="A6" s="27">
        <v>46176</v>
      </c>
      <c r="B6" s="28" t="s">
        <v>30</v>
      </c>
      <c r="C6" s="20">
        <v>1771</v>
      </c>
      <c r="D6" s="29">
        <v>0.6</v>
      </c>
      <c r="E6" s="30">
        <v>49672</v>
      </c>
      <c r="F6" s="30">
        <v>2936</v>
      </c>
      <c r="G6" s="30">
        <v>44828</v>
      </c>
      <c r="H6" s="14">
        <v>0.0395</v>
      </c>
      <c r="I6" s="14">
        <v>0.4322</v>
      </c>
      <c r="J6" s="31">
        <v>4919</v>
      </c>
      <c r="K6" s="32">
        <v>600.63</v>
      </c>
      <c r="L6" s="33">
        <v>5674</v>
      </c>
      <c r="M6" s="34">
        <v>6276.28</v>
      </c>
      <c r="N6" s="35">
        <v>6266.29</v>
      </c>
      <c r="O6" s="36">
        <v>25</v>
      </c>
      <c r="P6" s="14">
        <v>0.0006</v>
      </c>
      <c r="Q6" s="36">
        <v>1052</v>
      </c>
      <c r="R6" s="37">
        <v>0.0235</v>
      </c>
      <c r="S6" s="36">
        <v>1330</v>
      </c>
      <c r="T6" s="37">
        <v>0.0297</v>
      </c>
      <c r="U6" s="30">
        <v>29234</v>
      </c>
      <c r="V6" s="14">
        <v>0.6521</v>
      </c>
      <c r="W6" s="14">
        <v>0.6577</v>
      </c>
      <c r="X6" s="30">
        <v>4536</v>
      </c>
      <c r="Y6" s="14">
        <v>0.1012</v>
      </c>
      <c r="Z6" s="20">
        <v>4093</v>
      </c>
      <c r="AA6" s="14">
        <v>0.0913</v>
      </c>
    </row>
    <row r="7" spans="1:27">
      <c r="A7" s="27">
        <v>46177</v>
      </c>
      <c r="B7" s="28" t="s">
        <v>31</v>
      </c>
      <c r="C7" s="20">
        <v>2253</v>
      </c>
      <c r="D7" s="29">
        <v>0.85</v>
      </c>
      <c r="E7" s="30">
        <v>40637</v>
      </c>
      <c r="F7" s="30">
        <v>2665</v>
      </c>
      <c r="G7" s="30">
        <v>41692</v>
      </c>
      <c r="H7" s="14">
        <v>0.054</v>
      </c>
      <c r="I7" s="14">
        <v>0.4795</v>
      </c>
      <c r="J7" s="31">
        <v>4068</v>
      </c>
      <c r="K7" s="32">
        <v>660.43</v>
      </c>
      <c r="L7" s="33">
        <v>6094</v>
      </c>
      <c r="M7" s="34">
        <v>5845</v>
      </c>
      <c r="N7" s="35">
        <v>5816.29</v>
      </c>
      <c r="O7" s="36">
        <v>29</v>
      </c>
      <c r="P7" s="14">
        <v>0.0007</v>
      </c>
      <c r="Q7" s="36">
        <v>595</v>
      </c>
      <c r="R7" s="37">
        <v>0.0143</v>
      </c>
      <c r="S7" s="36">
        <v>1426</v>
      </c>
      <c r="T7" s="37">
        <v>0.0342</v>
      </c>
      <c r="U7" s="30">
        <v>28601</v>
      </c>
      <c r="V7" s="37">
        <v>0.686</v>
      </c>
      <c r="W7" s="14">
        <v>0.6919</v>
      </c>
      <c r="X7" s="30">
        <v>4906</v>
      </c>
      <c r="Y7" s="37">
        <v>0.1177</v>
      </c>
      <c r="Z7" s="20">
        <v>4004</v>
      </c>
      <c r="AA7" s="37">
        <v>0.096</v>
      </c>
    </row>
    <row r="8" spans="1:27">
      <c r="A8" s="27">
        <v>46178</v>
      </c>
      <c r="B8" s="28" t="s">
        <v>32</v>
      </c>
      <c r="C8" s="20">
        <v>1463</v>
      </c>
      <c r="D8" s="29">
        <v>0.47</v>
      </c>
      <c r="E8" s="30">
        <v>52389</v>
      </c>
      <c r="F8" s="30">
        <v>3119</v>
      </c>
      <c r="G8" s="30">
        <v>51465</v>
      </c>
      <c r="H8" s="14">
        <v>0.0284</v>
      </c>
      <c r="I8" s="14">
        <v>0.4149</v>
      </c>
      <c r="J8" s="31">
        <v>5242</v>
      </c>
      <c r="K8" s="32">
        <v>618.15</v>
      </c>
      <c r="L8" s="33">
        <v>6387</v>
      </c>
      <c r="M8" s="34">
        <v>7205.05</v>
      </c>
      <c r="N8" s="35">
        <v>7205.05</v>
      </c>
      <c r="O8" s="36">
        <v>117</v>
      </c>
      <c r="P8" s="37">
        <v>0.0023</v>
      </c>
      <c r="Q8" s="36">
        <v>961</v>
      </c>
      <c r="R8" s="37">
        <v>0.0187</v>
      </c>
      <c r="S8" s="36">
        <v>1699</v>
      </c>
      <c r="T8" s="37">
        <v>0.033</v>
      </c>
      <c r="U8" s="30">
        <v>35183</v>
      </c>
      <c r="V8" s="37">
        <v>0.6836</v>
      </c>
      <c r="W8" s="14">
        <v>0.6845</v>
      </c>
      <c r="X8" s="30">
        <v>4739</v>
      </c>
      <c r="Y8" s="14">
        <v>0.0921</v>
      </c>
      <c r="Z8" s="20">
        <v>4926</v>
      </c>
      <c r="AA8" s="37">
        <v>0.0957</v>
      </c>
    </row>
    <row r="9" spans="1:27">
      <c r="A9" s="27">
        <v>46179</v>
      </c>
      <c r="B9" s="28" t="s">
        <v>33</v>
      </c>
      <c r="C9" s="20">
        <v>2440</v>
      </c>
      <c r="D9" s="29">
        <v>0.76</v>
      </c>
      <c r="E9" s="30">
        <v>51770</v>
      </c>
      <c r="F9" s="30">
        <v>3224</v>
      </c>
      <c r="G9" s="30">
        <v>47882</v>
      </c>
      <c r="H9" s="14">
        <v>0.051</v>
      </c>
      <c r="I9" s="14">
        <v>0.5521</v>
      </c>
      <c r="J9" s="31">
        <v>4756</v>
      </c>
      <c r="K9" s="32">
        <v>61.6</v>
      </c>
      <c r="L9" s="33">
        <v>6557</v>
      </c>
      <c r="M9" s="34">
        <v>6700.63</v>
      </c>
      <c r="N9" s="35">
        <v>6700.63</v>
      </c>
      <c r="O9" s="36">
        <v>151</v>
      </c>
      <c r="P9" s="37">
        <v>0.0031</v>
      </c>
      <c r="Q9" s="36">
        <v>507</v>
      </c>
      <c r="R9" s="14">
        <v>0.0106</v>
      </c>
      <c r="S9" s="36">
        <v>778</v>
      </c>
      <c r="T9" s="14">
        <v>0.0162</v>
      </c>
      <c r="U9" s="30">
        <v>37451</v>
      </c>
      <c r="V9" s="37">
        <v>0.7822</v>
      </c>
      <c r="W9" s="14">
        <v>0.7816</v>
      </c>
      <c r="X9" s="30">
        <v>556</v>
      </c>
      <c r="Y9" s="14">
        <v>0.0116</v>
      </c>
      <c r="Z9" s="20">
        <v>5243</v>
      </c>
      <c r="AA9" s="37">
        <v>0.1095</v>
      </c>
    </row>
    <row r="10" spans="1:27">
      <c r="A10" s="27">
        <v>46180</v>
      </c>
      <c r="B10" s="28" t="s">
        <v>34</v>
      </c>
      <c r="C10" s="20">
        <v>1749</v>
      </c>
      <c r="D10" s="29">
        <v>0.6</v>
      </c>
      <c r="E10" s="30">
        <v>48745</v>
      </c>
      <c r="F10" s="30">
        <v>2915</v>
      </c>
      <c r="G10" s="30">
        <v>46491</v>
      </c>
      <c r="H10" s="14">
        <v>0.0376</v>
      </c>
      <c r="I10" s="14">
        <v>0.4559</v>
      </c>
      <c r="J10" s="31">
        <v>4500</v>
      </c>
      <c r="K10" s="32">
        <v>130.96</v>
      </c>
      <c r="L10" s="33">
        <v>6476</v>
      </c>
      <c r="M10" s="34">
        <v>6507.37</v>
      </c>
      <c r="N10" s="35">
        <v>6507.37</v>
      </c>
      <c r="O10" s="36">
        <v>92</v>
      </c>
      <c r="P10" s="37">
        <v>0.002</v>
      </c>
      <c r="Q10" s="36">
        <v>783</v>
      </c>
      <c r="R10" s="37">
        <v>0.0168</v>
      </c>
      <c r="S10" s="36">
        <v>1234</v>
      </c>
      <c r="T10" s="37">
        <v>0.0265</v>
      </c>
      <c r="U10" s="30">
        <v>35893</v>
      </c>
      <c r="V10" s="37">
        <v>0.772</v>
      </c>
      <c r="W10" s="14">
        <v>0.7664</v>
      </c>
      <c r="X10" s="30">
        <v>1092</v>
      </c>
      <c r="Y10" s="14">
        <v>0.0235</v>
      </c>
      <c r="Z10" s="20">
        <v>5025</v>
      </c>
      <c r="AA10" s="37">
        <v>0.1081</v>
      </c>
    </row>
    <row r="11" spans="1:27">
      <c r="A11" s="27">
        <v>46181</v>
      </c>
      <c r="B11" s="28" t="s">
        <v>28</v>
      </c>
      <c r="C11" s="20">
        <v>2080</v>
      </c>
      <c r="D11" s="29">
        <v>0.86</v>
      </c>
      <c r="E11" s="30">
        <v>51121</v>
      </c>
      <c r="F11" s="30">
        <v>2430</v>
      </c>
      <c r="G11" s="30">
        <v>38987</v>
      </c>
      <c r="H11" s="14">
        <v>0.0534</v>
      </c>
      <c r="I11" s="14">
        <v>0.4144</v>
      </c>
      <c r="J11" s="31">
        <v>3982</v>
      </c>
      <c r="K11" s="32">
        <v>717.5</v>
      </c>
      <c r="L11" s="33">
        <v>5755</v>
      </c>
      <c r="M11" s="34">
        <v>5458.43</v>
      </c>
      <c r="N11" s="35">
        <v>5446.59</v>
      </c>
      <c r="O11" s="36">
        <v>49</v>
      </c>
      <c r="P11" s="14">
        <v>0.0013</v>
      </c>
      <c r="Q11" s="36">
        <v>1214</v>
      </c>
      <c r="R11" s="37">
        <v>0.0311</v>
      </c>
      <c r="S11" s="36">
        <v>1033</v>
      </c>
      <c r="T11" s="37">
        <v>0.0265</v>
      </c>
      <c r="U11" s="30">
        <v>24729</v>
      </c>
      <c r="V11" s="14">
        <v>0.6343</v>
      </c>
      <c r="W11" s="14">
        <v>0.6449</v>
      </c>
      <c r="X11" s="30">
        <v>5310</v>
      </c>
      <c r="Y11" s="37">
        <v>0.1362</v>
      </c>
      <c r="Z11" s="20">
        <v>3462</v>
      </c>
      <c r="AA11" s="14">
        <v>0.0888</v>
      </c>
    </row>
    <row r="12" spans="1:27">
      <c r="A12" s="27">
        <v>46182</v>
      </c>
      <c r="B12" s="28" t="s">
        <v>29</v>
      </c>
      <c r="C12" s="20">
        <v>1353</v>
      </c>
      <c r="D12" s="29">
        <v>0.48</v>
      </c>
      <c r="E12" s="30">
        <v>44179</v>
      </c>
      <c r="F12" s="30">
        <v>2828</v>
      </c>
      <c r="G12" s="30">
        <v>43985</v>
      </c>
      <c r="H12" s="14">
        <v>0.0308</v>
      </c>
      <c r="I12" s="14">
        <v>0.3914</v>
      </c>
      <c r="J12" s="31">
        <v>4909</v>
      </c>
      <c r="K12" s="32">
        <v>556.78</v>
      </c>
      <c r="L12" s="33">
        <v>5594</v>
      </c>
      <c r="M12" s="34">
        <v>6160.04</v>
      </c>
      <c r="N12" s="35">
        <v>6160.04</v>
      </c>
      <c r="O12" s="36">
        <v>35</v>
      </c>
      <c r="P12" s="14">
        <v>0.0008</v>
      </c>
      <c r="Q12" s="36">
        <v>912</v>
      </c>
      <c r="R12" s="14">
        <v>0.0207</v>
      </c>
      <c r="S12" s="36">
        <v>1892</v>
      </c>
      <c r="T12" s="37">
        <v>0.043</v>
      </c>
      <c r="U12" s="30">
        <v>28261</v>
      </c>
      <c r="V12" s="14">
        <v>0.6425</v>
      </c>
      <c r="W12" s="14">
        <v>0.6453</v>
      </c>
      <c r="X12" s="30">
        <v>4313</v>
      </c>
      <c r="Y12" s="14">
        <v>0.0981</v>
      </c>
      <c r="Z12" s="20">
        <v>3956</v>
      </c>
      <c r="AA12" s="14">
        <v>0.0899</v>
      </c>
    </row>
    <row r="13" spans="1:27">
      <c r="A13" s="27">
        <v>46183</v>
      </c>
      <c r="B13" s="28" t="s">
        <v>30</v>
      </c>
      <c r="C13" s="20">
        <v>2334</v>
      </c>
      <c r="D13" s="29">
        <v>0.97</v>
      </c>
      <c r="E13" s="38">
        <v>41086</v>
      </c>
      <c r="F13" s="30">
        <v>2417</v>
      </c>
      <c r="G13" s="30">
        <v>38407</v>
      </c>
      <c r="H13" s="14">
        <v>0.0608</v>
      </c>
      <c r="I13" s="14">
        <v>0.4816</v>
      </c>
      <c r="J13" s="31">
        <v>3848</v>
      </c>
      <c r="K13" s="32">
        <v>538.49</v>
      </c>
      <c r="L13" s="33">
        <v>5718</v>
      </c>
      <c r="M13" s="34">
        <v>5370.98</v>
      </c>
      <c r="N13" s="35">
        <v>5348.99</v>
      </c>
      <c r="O13" s="36">
        <v>83</v>
      </c>
      <c r="P13" s="14">
        <v>0.0021</v>
      </c>
      <c r="Q13" s="36">
        <v>513</v>
      </c>
      <c r="R13" s="14">
        <v>0.0134</v>
      </c>
      <c r="S13" s="36">
        <v>1191</v>
      </c>
      <c r="T13" s="37">
        <v>0.031</v>
      </c>
      <c r="U13" s="30">
        <v>25462</v>
      </c>
      <c r="V13" s="14">
        <v>0.663</v>
      </c>
      <c r="W13" s="14">
        <v>0.6603</v>
      </c>
      <c r="X13" s="30">
        <v>4118</v>
      </c>
      <c r="Y13" s="14">
        <v>0.1072</v>
      </c>
      <c r="Z13" s="20">
        <v>3565</v>
      </c>
      <c r="AA13" s="14">
        <v>0.0928</v>
      </c>
    </row>
    <row r="14" spans="1:27">
      <c r="A14" s="27">
        <v>46184</v>
      </c>
      <c r="B14" s="28" t="s">
        <v>31</v>
      </c>
      <c r="C14" s="20">
        <v>1989</v>
      </c>
      <c r="D14" s="29">
        <v>0.82</v>
      </c>
      <c r="E14" s="30">
        <v>41722</v>
      </c>
      <c r="F14" s="30">
        <v>2427</v>
      </c>
      <c r="G14" s="30">
        <v>39466</v>
      </c>
      <c r="H14" s="14">
        <v>0.0504</v>
      </c>
      <c r="I14" s="14">
        <v>0.4714</v>
      </c>
      <c r="J14" s="31">
        <v>4278</v>
      </c>
      <c r="K14" s="32">
        <v>533.9</v>
      </c>
      <c r="L14" s="33">
        <v>5489</v>
      </c>
      <c r="M14" s="34">
        <v>5530.04</v>
      </c>
      <c r="N14" s="35">
        <v>5507.36</v>
      </c>
      <c r="O14" s="36">
        <v>107</v>
      </c>
      <c r="P14" s="37">
        <v>0.0027</v>
      </c>
      <c r="Q14" s="36">
        <v>770</v>
      </c>
      <c r="R14" s="14">
        <v>0.0195</v>
      </c>
      <c r="S14" s="36">
        <v>1282</v>
      </c>
      <c r="T14" s="37">
        <v>0.0325</v>
      </c>
      <c r="U14" s="30">
        <v>25322</v>
      </c>
      <c r="V14" s="14">
        <v>0.6416</v>
      </c>
      <c r="W14" s="14">
        <v>0.6275</v>
      </c>
      <c r="X14" s="30">
        <v>4040</v>
      </c>
      <c r="Y14" s="14">
        <v>0.1024</v>
      </c>
      <c r="Z14" s="20">
        <v>3545</v>
      </c>
      <c r="AA14" s="14">
        <v>0.0898</v>
      </c>
    </row>
    <row r="15" spans="1:27">
      <c r="A15" s="27">
        <v>46185</v>
      </c>
      <c r="B15" s="28" t="s">
        <v>32</v>
      </c>
      <c r="C15" s="20">
        <v>1879</v>
      </c>
      <c r="D15" s="29">
        <v>0.67</v>
      </c>
      <c r="E15" s="30">
        <v>53113</v>
      </c>
      <c r="F15" s="30">
        <v>2804</v>
      </c>
      <c r="G15" s="30">
        <v>43541</v>
      </c>
      <c r="H15" s="14">
        <v>0.0432</v>
      </c>
      <c r="I15" s="14">
        <v>0.4058</v>
      </c>
      <c r="J15" s="31">
        <v>4551</v>
      </c>
      <c r="K15" s="32">
        <v>573.8</v>
      </c>
      <c r="L15" s="33">
        <v>5580</v>
      </c>
      <c r="M15" s="34">
        <v>6095.33</v>
      </c>
      <c r="N15" s="35">
        <v>6088.9</v>
      </c>
      <c r="O15" s="36">
        <v>74</v>
      </c>
      <c r="P15" s="14">
        <v>0.0017</v>
      </c>
      <c r="Q15" s="36">
        <v>617</v>
      </c>
      <c r="R15" s="14">
        <v>0.0142</v>
      </c>
      <c r="S15" s="36">
        <v>1337</v>
      </c>
      <c r="T15" s="37">
        <v>0.0307</v>
      </c>
      <c r="U15" s="30">
        <v>29253</v>
      </c>
      <c r="V15" s="37">
        <v>0.6719</v>
      </c>
      <c r="W15" s="14">
        <v>0.6598</v>
      </c>
      <c r="X15" s="30">
        <v>4405</v>
      </c>
      <c r="Y15" s="14">
        <v>0.1012</v>
      </c>
      <c r="Z15" s="20">
        <v>4095</v>
      </c>
      <c r="AA15" s="37">
        <v>0.0941</v>
      </c>
    </row>
    <row r="16" spans="1:27">
      <c r="A16" s="27">
        <v>46186</v>
      </c>
      <c r="B16" s="28" t="s">
        <v>33</v>
      </c>
      <c r="C16" s="20">
        <v>2417</v>
      </c>
      <c r="D16" s="29">
        <v>0.74</v>
      </c>
      <c r="E16" s="30">
        <v>66378</v>
      </c>
      <c r="F16" s="30">
        <v>3282</v>
      </c>
      <c r="G16" s="30">
        <v>49632</v>
      </c>
      <c r="H16" s="14">
        <v>0.0487</v>
      </c>
      <c r="I16" s="14">
        <v>0.3818</v>
      </c>
      <c r="J16" s="31">
        <v>5776</v>
      </c>
      <c r="K16" s="32">
        <v>189.02</v>
      </c>
      <c r="L16" s="33">
        <v>5804</v>
      </c>
      <c r="M16" s="34">
        <v>6950.13</v>
      </c>
      <c r="N16" s="35">
        <v>6950.13</v>
      </c>
      <c r="O16" s="36">
        <v>72</v>
      </c>
      <c r="P16" s="14">
        <v>0.0014</v>
      </c>
      <c r="Q16" s="36">
        <v>441</v>
      </c>
      <c r="R16" s="14">
        <v>0.0089</v>
      </c>
      <c r="S16" s="36">
        <v>1073</v>
      </c>
      <c r="T16" s="14">
        <v>0.0216</v>
      </c>
      <c r="U16" s="30">
        <v>34297</v>
      </c>
      <c r="V16" s="37">
        <v>0.691</v>
      </c>
      <c r="W16" s="14">
        <v>0.6947</v>
      </c>
      <c r="X16" s="30">
        <v>1634</v>
      </c>
      <c r="Y16" s="14">
        <v>0.0329</v>
      </c>
      <c r="Z16" s="20">
        <v>4802</v>
      </c>
      <c r="AA16" s="37">
        <v>0.0967</v>
      </c>
    </row>
    <row r="17" spans="1:27">
      <c r="A17" s="27">
        <v>46187</v>
      </c>
      <c r="B17" s="28" t="s">
        <v>34</v>
      </c>
      <c r="C17" s="20">
        <v>2000</v>
      </c>
      <c r="D17" s="29">
        <v>0.66</v>
      </c>
      <c r="E17" s="30">
        <v>57032</v>
      </c>
      <c r="F17" s="30">
        <v>3008</v>
      </c>
      <c r="G17" s="30">
        <v>46245</v>
      </c>
      <c r="H17" s="14">
        <v>0.0432</v>
      </c>
      <c r="I17" s="14">
        <v>0.4578</v>
      </c>
      <c r="J17" s="31">
        <v>5035</v>
      </c>
      <c r="K17" s="32">
        <v>168.46</v>
      </c>
      <c r="L17" s="33">
        <v>5682</v>
      </c>
      <c r="M17" s="34">
        <v>6478.9</v>
      </c>
      <c r="N17" s="35">
        <v>6461.39</v>
      </c>
      <c r="O17" s="36">
        <v>236</v>
      </c>
      <c r="P17" s="37">
        <v>0.0051</v>
      </c>
      <c r="Q17" s="36">
        <v>755</v>
      </c>
      <c r="R17" s="14">
        <v>0.0163</v>
      </c>
      <c r="S17" s="36">
        <v>664</v>
      </c>
      <c r="T17" s="14">
        <v>0.0144</v>
      </c>
      <c r="U17" s="30">
        <v>33362</v>
      </c>
      <c r="V17" s="37">
        <v>0.7214</v>
      </c>
      <c r="W17" s="14">
        <v>0.7287</v>
      </c>
      <c r="X17" s="30">
        <v>1411</v>
      </c>
      <c r="Y17" s="14">
        <v>0.0305</v>
      </c>
      <c r="Z17" s="20">
        <v>4671</v>
      </c>
      <c r="AA17" s="37">
        <v>0.101</v>
      </c>
    </row>
    <row r="18" spans="1:27">
      <c r="A18" s="27">
        <v>46188</v>
      </c>
      <c r="B18" s="28" t="s">
        <v>28</v>
      </c>
      <c r="C18" s="20">
        <v>1200</v>
      </c>
      <c r="D18" s="29">
        <v>0.4</v>
      </c>
      <c r="E18" s="30">
        <v>49513</v>
      </c>
      <c r="F18" s="30">
        <v>3006</v>
      </c>
      <c r="G18" s="30">
        <v>47890</v>
      </c>
      <c r="H18" s="14">
        <v>0.025</v>
      </c>
      <c r="I18" s="14">
        <v>0.4368</v>
      </c>
      <c r="J18" s="31">
        <v>5865</v>
      </c>
      <c r="K18" s="32">
        <v>622.68</v>
      </c>
      <c r="L18" s="33">
        <v>4990</v>
      </c>
      <c r="M18" s="34">
        <v>6704.06</v>
      </c>
      <c r="N18" s="35">
        <v>6704.06</v>
      </c>
      <c r="O18" s="36">
        <v>88</v>
      </c>
      <c r="P18" s="14">
        <v>0.0018</v>
      </c>
      <c r="Q18" s="36">
        <v>1297</v>
      </c>
      <c r="R18" s="37">
        <v>0.0271</v>
      </c>
      <c r="S18" s="36">
        <v>1425</v>
      </c>
      <c r="T18" s="37">
        <v>0.0297</v>
      </c>
      <c r="U18" s="30">
        <v>28172</v>
      </c>
      <c r="V18" s="14">
        <v>0.5883</v>
      </c>
      <c r="W18" s="14">
        <v>0.5938</v>
      </c>
      <c r="X18" s="30">
        <v>4559</v>
      </c>
      <c r="Y18" s="14">
        <v>0.0952</v>
      </c>
      <c r="Z18" s="20">
        <v>3944</v>
      </c>
      <c r="AA18" s="14">
        <v>0.0824</v>
      </c>
    </row>
    <row r="19" spans="1:27">
      <c r="A19" s="27">
        <v>46189</v>
      </c>
      <c r="B19" s="28" t="s">
        <v>29</v>
      </c>
      <c r="C19" s="20">
        <v>728</v>
      </c>
      <c r="D19" s="29">
        <v>0.25</v>
      </c>
      <c r="E19" s="30">
        <v>52524</v>
      </c>
      <c r="F19" s="30">
        <v>2893</v>
      </c>
      <c r="G19" s="30">
        <v>46773</v>
      </c>
      <c r="H19" s="14">
        <v>0.0156</v>
      </c>
      <c r="I19" s="14">
        <v>0.4172</v>
      </c>
      <c r="J19" s="31">
        <v>5219</v>
      </c>
      <c r="K19" s="32">
        <v>759.26</v>
      </c>
      <c r="L19" s="33">
        <v>4831</v>
      </c>
      <c r="M19" s="34">
        <v>6557.2</v>
      </c>
      <c r="N19" s="35">
        <v>6550.95</v>
      </c>
      <c r="O19" s="36">
        <v>154</v>
      </c>
      <c r="P19" s="37">
        <v>0.0033</v>
      </c>
      <c r="Q19" s="36">
        <v>1162</v>
      </c>
      <c r="R19" s="37">
        <v>0.0248</v>
      </c>
      <c r="S19" s="36">
        <v>1471</v>
      </c>
      <c r="T19" s="37">
        <v>0.0315</v>
      </c>
      <c r="U19" s="30">
        <v>28975</v>
      </c>
      <c r="V19" s="14">
        <v>0.6195</v>
      </c>
      <c r="W19" s="14">
        <v>0.6336</v>
      </c>
      <c r="X19" s="30">
        <v>5532</v>
      </c>
      <c r="Y19" s="37">
        <v>0.1183</v>
      </c>
      <c r="Z19" s="20">
        <v>4057</v>
      </c>
      <c r="AA19" s="14">
        <v>0.0867</v>
      </c>
    </row>
    <row r="20" spans="1:27">
      <c r="A20" s="27">
        <v>46190</v>
      </c>
      <c r="B20" s="28" t="s">
        <v>30</v>
      </c>
      <c r="C20" s="20">
        <v>1129</v>
      </c>
      <c r="D20" s="29">
        <v>0.32</v>
      </c>
      <c r="E20" s="30">
        <v>59842</v>
      </c>
      <c r="F20" s="30">
        <v>3556</v>
      </c>
      <c r="G20" s="30">
        <v>57503</v>
      </c>
      <c r="H20" s="14">
        <v>0.0196</v>
      </c>
      <c r="I20" s="14">
        <v>0.3661</v>
      </c>
      <c r="J20" s="31">
        <v>6354</v>
      </c>
      <c r="K20" s="32">
        <v>699.48</v>
      </c>
      <c r="L20" s="33">
        <v>5494</v>
      </c>
      <c r="M20" s="34">
        <v>8050.97</v>
      </c>
      <c r="N20" s="35">
        <v>8050.97</v>
      </c>
      <c r="O20" s="36">
        <v>109</v>
      </c>
      <c r="P20" s="14">
        <v>0.0019</v>
      </c>
      <c r="Q20" s="36">
        <v>859</v>
      </c>
      <c r="R20" s="14">
        <v>0.0149</v>
      </c>
      <c r="S20" s="36">
        <v>1495</v>
      </c>
      <c r="T20" s="37">
        <v>0.026</v>
      </c>
      <c r="U20" s="30">
        <v>37092</v>
      </c>
      <c r="V20" s="14">
        <v>0.645</v>
      </c>
      <c r="W20" s="14">
        <v>0.6504</v>
      </c>
      <c r="X20" s="30">
        <v>5124</v>
      </c>
      <c r="Y20" s="14">
        <v>0.0891</v>
      </c>
      <c r="Z20" s="20">
        <v>5193</v>
      </c>
      <c r="AA20" s="14">
        <v>0.0903</v>
      </c>
    </row>
    <row r="21" spans="1:27">
      <c r="A21" s="27">
        <v>46191</v>
      </c>
      <c r="B21" s="28" t="s">
        <v>31</v>
      </c>
      <c r="C21" s="20">
        <v>1007</v>
      </c>
      <c r="D21" s="29">
        <v>0.22</v>
      </c>
      <c r="E21" s="30">
        <v>135429</v>
      </c>
      <c r="F21" s="30">
        <v>4512</v>
      </c>
      <c r="G21" s="30">
        <v>82666</v>
      </c>
      <c r="H21" s="14">
        <v>0.0122</v>
      </c>
      <c r="I21" s="14"/>
      <c r="J21" s="31">
        <v>6506</v>
      </c>
      <c r="K21" s="32">
        <v>3233.71</v>
      </c>
      <c r="L21" s="33">
        <v>6635</v>
      </c>
      <c r="M21" s="34">
        <v>11576.69</v>
      </c>
      <c r="N21" s="35">
        <v>11544.28</v>
      </c>
      <c r="O21" s="36">
        <v>148</v>
      </c>
      <c r="P21" s="14">
        <v>0.0018</v>
      </c>
      <c r="Q21" s="36">
        <v>801</v>
      </c>
      <c r="R21" s="14">
        <v>0.0097</v>
      </c>
      <c r="S21" s="36">
        <v>1621</v>
      </c>
      <c r="T21" s="14">
        <v>0.0196</v>
      </c>
      <c r="U21" s="30">
        <v>48631</v>
      </c>
      <c r="V21" s="14">
        <v>0.5883</v>
      </c>
      <c r="W21" s="14">
        <v>0.594</v>
      </c>
      <c r="X21" s="30">
        <v>24736</v>
      </c>
      <c r="Y21" s="37">
        <v>0.2992</v>
      </c>
      <c r="Z21" s="20">
        <v>6808</v>
      </c>
      <c r="AA21" s="14">
        <v>0.0824</v>
      </c>
    </row>
    <row r="22" spans="1:27">
      <c r="A22" s="27">
        <v>46192</v>
      </c>
      <c r="B22" s="28" t="s">
        <v>32</v>
      </c>
      <c r="C22" s="20">
        <v>1452</v>
      </c>
      <c r="D22" s="29">
        <v>0.32</v>
      </c>
      <c r="E22" s="41">
        <v>169970</v>
      </c>
      <c r="F22" s="41">
        <v>4573</v>
      </c>
      <c r="G22" s="30">
        <v>79944</v>
      </c>
      <c r="H22" s="14">
        <v>0.0182</v>
      </c>
      <c r="I22" s="14"/>
      <c r="J22" s="31">
        <v>7386</v>
      </c>
      <c r="K22" s="32">
        <v>2590.42</v>
      </c>
      <c r="L22" s="33">
        <v>6007</v>
      </c>
      <c r="M22" s="34">
        <v>11200.99</v>
      </c>
      <c r="N22" s="35">
        <v>11200.99</v>
      </c>
      <c r="O22" s="36">
        <v>282</v>
      </c>
      <c r="P22" s="37">
        <v>0.0035</v>
      </c>
      <c r="Q22" s="36">
        <v>1294</v>
      </c>
      <c r="R22" s="14">
        <v>0.0162</v>
      </c>
      <c r="S22" s="36">
        <v>541</v>
      </c>
      <c r="T22" s="14">
        <v>0.0068</v>
      </c>
      <c r="U22" s="30">
        <v>46289</v>
      </c>
      <c r="V22" s="14">
        <v>0.579</v>
      </c>
      <c r="W22" s="42">
        <v>0.574</v>
      </c>
      <c r="X22" s="30">
        <v>19275</v>
      </c>
      <c r="Y22" s="37">
        <v>0.2411</v>
      </c>
      <c r="Z22" s="20">
        <v>6480</v>
      </c>
      <c r="AA22" s="14">
        <v>0.0811</v>
      </c>
    </row>
    <row r="23" spans="1:27">
      <c r="A23" s="27">
        <v>46193</v>
      </c>
      <c r="B23" s="28" t="s">
        <v>33</v>
      </c>
      <c r="C23" s="20">
        <v>3754</v>
      </c>
      <c r="D23" s="29">
        <v>1</v>
      </c>
      <c r="E23" s="30">
        <v>82070</v>
      </c>
      <c r="F23" s="30">
        <v>3742</v>
      </c>
      <c r="G23" s="30">
        <v>56612</v>
      </c>
      <c r="H23" s="14">
        <v>0.0663</v>
      </c>
      <c r="I23" s="14"/>
      <c r="J23" s="31">
        <v>5301</v>
      </c>
      <c r="K23" s="32">
        <v>1387.58</v>
      </c>
      <c r="L23" s="33">
        <v>6756</v>
      </c>
      <c r="M23" s="34">
        <v>7923.21</v>
      </c>
      <c r="N23" s="35">
        <v>7915.34</v>
      </c>
      <c r="O23" s="36">
        <v>128</v>
      </c>
      <c r="P23" s="14">
        <v>0.0023</v>
      </c>
      <c r="Q23" s="36">
        <v>5</v>
      </c>
      <c r="R23" s="14">
        <v>0.0001</v>
      </c>
      <c r="S23" s="36">
        <v>704</v>
      </c>
      <c r="T23" s="14">
        <v>0.0124</v>
      </c>
      <c r="U23" s="30">
        <v>36730</v>
      </c>
      <c r="V23" s="14">
        <v>0.6488</v>
      </c>
      <c r="W23" s="14">
        <v>0.6507</v>
      </c>
      <c r="X23" s="30">
        <v>10044</v>
      </c>
      <c r="Y23" s="37">
        <v>0.1774</v>
      </c>
      <c r="Z23" s="20">
        <v>5142</v>
      </c>
      <c r="AA23" s="14">
        <v>0.0908</v>
      </c>
    </row>
    <row r="24" spans="1:27">
      <c r="A24" s="27">
        <v>46194</v>
      </c>
      <c r="B24" s="28" t="s">
        <v>34</v>
      </c>
      <c r="C24" s="39">
        <v>-1086</v>
      </c>
      <c r="D24" s="40">
        <v>-0.29</v>
      </c>
      <c r="E24" s="30">
        <v>108678</v>
      </c>
      <c r="F24" s="30">
        <v>3715</v>
      </c>
      <c r="G24" s="30">
        <v>62213</v>
      </c>
      <c r="H24" s="14">
        <v>-0.0175</v>
      </c>
      <c r="I24" s="14"/>
      <c r="J24" s="31">
        <v>5220</v>
      </c>
      <c r="K24" s="32">
        <v>1337.57</v>
      </c>
      <c r="L24" s="33">
        <v>6880</v>
      </c>
      <c r="M24" s="34">
        <v>8709.36</v>
      </c>
      <c r="N24" s="35">
        <v>8709.36</v>
      </c>
      <c r="O24" s="36">
        <v>63</v>
      </c>
      <c r="P24" s="14">
        <v>0.001</v>
      </c>
      <c r="Q24" s="36">
        <v>4242</v>
      </c>
      <c r="R24" s="37">
        <v>0.0682</v>
      </c>
      <c r="S24" s="36">
        <v>544</v>
      </c>
      <c r="T24" s="14">
        <v>0.0087</v>
      </c>
      <c r="U24" s="30">
        <v>43092</v>
      </c>
      <c r="V24" s="37">
        <v>0.6926</v>
      </c>
      <c r="W24" s="14">
        <v>0.6856</v>
      </c>
      <c r="X24" s="30">
        <v>9766</v>
      </c>
      <c r="Y24" s="37">
        <v>0.157</v>
      </c>
      <c r="Z24" s="20">
        <v>6033</v>
      </c>
      <c r="AA24" s="37">
        <v>0.097</v>
      </c>
    </row>
    <row r="25" spans="1:27">
      <c r="A25" s="27">
        <v>46195</v>
      </c>
      <c r="B25" s="28" t="s">
        <v>28</v>
      </c>
      <c r="C25" s="20">
        <v>1458</v>
      </c>
      <c r="D25" s="29">
        <v>0.36</v>
      </c>
      <c r="E25" s="30">
        <v>113067</v>
      </c>
      <c r="F25" s="30">
        <v>4067</v>
      </c>
      <c r="G25" s="30">
        <v>69071</v>
      </c>
      <c r="H25" s="14">
        <v>0.0211</v>
      </c>
      <c r="I25" s="14">
        <v>0.2707</v>
      </c>
      <c r="J25" s="31">
        <v>6337</v>
      </c>
      <c r="K25" s="32">
        <v>1860.08</v>
      </c>
      <c r="L25" s="33">
        <v>6661</v>
      </c>
      <c r="M25" s="34">
        <v>9676.67</v>
      </c>
      <c r="N25" s="35">
        <v>9628.92</v>
      </c>
      <c r="O25" s="36">
        <v>0</v>
      </c>
      <c r="P25" s="14">
        <v>0</v>
      </c>
      <c r="Q25" s="36">
        <v>1427</v>
      </c>
      <c r="R25" s="14">
        <v>0.0207</v>
      </c>
      <c r="S25" s="36">
        <v>1234</v>
      </c>
      <c r="T25" s="14">
        <v>0.0179</v>
      </c>
      <c r="U25" s="30">
        <v>42553</v>
      </c>
      <c r="V25" s="14">
        <v>0.6161</v>
      </c>
      <c r="W25" s="14">
        <v>0.6351</v>
      </c>
      <c r="X25" s="30">
        <v>13228</v>
      </c>
      <c r="Y25" s="37">
        <v>0.1915</v>
      </c>
      <c r="Z25" s="20">
        <v>5957</v>
      </c>
      <c r="AA25" s="14">
        <v>0.0863</v>
      </c>
    </row>
    <row r="26" spans="1:27">
      <c r="A26" s="27">
        <v>46196</v>
      </c>
      <c r="B26" s="28" t="s">
        <v>29</v>
      </c>
      <c r="C26" s="20">
        <v>1317</v>
      </c>
      <c r="D26" s="29">
        <v>0.33</v>
      </c>
      <c r="E26" s="30">
        <v>87232</v>
      </c>
      <c r="F26" s="30">
        <v>3938</v>
      </c>
      <c r="G26" s="30">
        <v>63314</v>
      </c>
      <c r="H26" s="14">
        <v>0.0208</v>
      </c>
      <c r="I26" s="14">
        <v>0.2291</v>
      </c>
      <c r="J26" s="31">
        <v>6300</v>
      </c>
      <c r="K26" s="32">
        <v>1238.82</v>
      </c>
      <c r="L26" s="33">
        <v>6360</v>
      </c>
      <c r="M26" s="34">
        <v>8862.3</v>
      </c>
      <c r="N26" s="35">
        <v>8802.81</v>
      </c>
      <c r="O26" s="36">
        <v>0</v>
      </c>
      <c r="P26" s="14">
        <v>0</v>
      </c>
      <c r="Q26" s="36">
        <v>1286</v>
      </c>
      <c r="R26" s="14">
        <v>0.0203</v>
      </c>
      <c r="S26" s="36">
        <v>1428</v>
      </c>
      <c r="T26" s="14">
        <v>0.0225</v>
      </c>
      <c r="U26" s="30">
        <v>41040</v>
      </c>
      <c r="V26" s="14">
        <v>0.6482</v>
      </c>
      <c r="W26" s="14">
        <v>0.6587</v>
      </c>
      <c r="X26" s="30">
        <v>8700</v>
      </c>
      <c r="Y26" s="37">
        <v>0.1374</v>
      </c>
      <c r="Z26" s="20">
        <v>5746</v>
      </c>
      <c r="AA26" s="14">
        <v>0.0907</v>
      </c>
    </row>
    <row r="27" spans="1:27">
      <c r="A27" s="27">
        <v>46197</v>
      </c>
      <c r="B27" s="28" t="s">
        <v>30</v>
      </c>
      <c r="C27" s="20">
        <v>1414</v>
      </c>
      <c r="D27" s="29">
        <v>0.43</v>
      </c>
      <c r="E27" s="30">
        <v>60100</v>
      </c>
      <c r="F27" s="30">
        <v>3265</v>
      </c>
      <c r="G27" s="30">
        <v>52703</v>
      </c>
      <c r="H27" s="14">
        <v>0.0268</v>
      </c>
      <c r="I27" s="14">
        <v>0.3479</v>
      </c>
      <c r="J27" s="31">
        <v>5532</v>
      </c>
      <c r="K27" s="32">
        <v>910.76</v>
      </c>
      <c r="L27" s="33">
        <v>6543</v>
      </c>
      <c r="M27" s="34">
        <v>7370.83</v>
      </c>
      <c r="N27" s="35">
        <v>7336.78</v>
      </c>
      <c r="O27" s="36">
        <v>363</v>
      </c>
      <c r="P27" s="37">
        <v>0.0069</v>
      </c>
      <c r="Q27" s="36">
        <v>1711</v>
      </c>
      <c r="R27" s="37">
        <v>0.0325</v>
      </c>
      <c r="S27" s="36">
        <v>1291</v>
      </c>
      <c r="T27" s="37">
        <v>0.0245</v>
      </c>
      <c r="U27" s="30">
        <v>33060</v>
      </c>
      <c r="V27" s="14">
        <v>0.6273</v>
      </c>
      <c r="W27" s="14">
        <v>0.6502</v>
      </c>
      <c r="X27" s="30">
        <v>6414</v>
      </c>
      <c r="Y27" s="37">
        <v>0.1217</v>
      </c>
      <c r="Z27" s="20">
        <v>4628</v>
      </c>
      <c r="AA27" s="14">
        <v>0.0878</v>
      </c>
    </row>
    <row r="28" spans="1:27">
      <c r="A28" s="27">
        <v>46198</v>
      </c>
      <c r="B28" s="28" t="s">
        <v>31</v>
      </c>
      <c r="C28" s="20">
        <v>1168</v>
      </c>
      <c r="D28" s="29">
        <v>0.38</v>
      </c>
      <c r="E28" s="30">
        <v>47539</v>
      </c>
      <c r="F28" s="30">
        <v>3094</v>
      </c>
      <c r="G28" s="30">
        <v>49751</v>
      </c>
      <c r="H28" s="14">
        <v>0.0235</v>
      </c>
      <c r="I28" s="14">
        <v>0.3885</v>
      </c>
      <c r="J28" s="31">
        <v>5325</v>
      </c>
      <c r="K28" s="32">
        <v>646.61</v>
      </c>
      <c r="L28" s="33">
        <v>6195</v>
      </c>
      <c r="M28" s="34">
        <v>6970.72</v>
      </c>
      <c r="N28" s="35">
        <v>6910.94</v>
      </c>
      <c r="O28" s="36">
        <v>298</v>
      </c>
      <c r="P28" s="37">
        <v>0.006</v>
      </c>
      <c r="Q28" s="36">
        <v>1493</v>
      </c>
      <c r="R28" s="37">
        <v>0.03</v>
      </c>
      <c r="S28" s="36">
        <v>1452</v>
      </c>
      <c r="T28" s="37">
        <v>0.0292</v>
      </c>
      <c r="U28" s="30">
        <v>32440</v>
      </c>
      <c r="V28" s="14">
        <v>0.652</v>
      </c>
      <c r="W28" s="14">
        <v>0.6684</v>
      </c>
      <c r="X28" s="30">
        <v>4624</v>
      </c>
      <c r="Y28" s="14">
        <v>0.0929</v>
      </c>
      <c r="Z28" s="20">
        <v>4542</v>
      </c>
      <c r="AA28" s="14">
        <v>0.0913</v>
      </c>
    </row>
    <row r="29" spans="1:27">
      <c r="A29" s="27">
        <v>46199</v>
      </c>
      <c r="B29" s="28" t="s">
        <v>32</v>
      </c>
      <c r="C29" s="20">
        <v>1796</v>
      </c>
      <c r="D29" s="29">
        <v>0.45</v>
      </c>
      <c r="E29" s="30">
        <v>60982</v>
      </c>
      <c r="F29" s="30">
        <v>3986</v>
      </c>
      <c r="G29" s="30">
        <v>62551</v>
      </c>
      <c r="H29" s="14">
        <v>0.0287</v>
      </c>
      <c r="I29" s="14">
        <v>0.4142</v>
      </c>
      <c r="J29" s="31">
        <v>6188</v>
      </c>
      <c r="K29" s="32">
        <v>805.64</v>
      </c>
      <c r="L29" s="33">
        <v>7163</v>
      </c>
      <c r="M29" s="34">
        <v>8754.66</v>
      </c>
      <c r="N29" s="35">
        <v>8746.44</v>
      </c>
      <c r="O29" s="36">
        <v>149</v>
      </c>
      <c r="P29" s="14">
        <v>0.0024</v>
      </c>
      <c r="Q29" s="36">
        <v>898</v>
      </c>
      <c r="R29" s="14">
        <v>0.0144</v>
      </c>
      <c r="S29" s="36">
        <v>1555</v>
      </c>
      <c r="T29" s="37">
        <v>0.0249</v>
      </c>
      <c r="U29" s="30">
        <v>43644</v>
      </c>
      <c r="V29" s="37">
        <v>0.6977</v>
      </c>
      <c r="W29" s="14">
        <v>0.714</v>
      </c>
      <c r="X29" s="30">
        <v>5912</v>
      </c>
      <c r="Y29" s="14">
        <v>0.0945</v>
      </c>
      <c r="Z29" s="20">
        <v>6110</v>
      </c>
      <c r="AA29" s="37">
        <v>0.0977</v>
      </c>
    </row>
    <row r="30" spans="1:27">
      <c r="A30" s="27">
        <v>46200</v>
      </c>
      <c r="B30" s="28" t="s">
        <v>33</v>
      </c>
      <c r="C30" s="20">
        <v>1840</v>
      </c>
      <c r="D30" s="29">
        <v>0.45</v>
      </c>
      <c r="E30" s="30">
        <v>62636</v>
      </c>
      <c r="F30" s="30">
        <v>4080</v>
      </c>
      <c r="G30" s="30">
        <v>62328</v>
      </c>
      <c r="H30" s="14">
        <v>0.0295</v>
      </c>
      <c r="I30" s="14">
        <v>0.4507</v>
      </c>
      <c r="J30" s="31">
        <v>6002</v>
      </c>
      <c r="K30" s="32">
        <v>332.35</v>
      </c>
      <c r="L30" s="33">
        <v>7207</v>
      </c>
      <c r="M30" s="34">
        <v>8722.39</v>
      </c>
      <c r="N30" s="35">
        <v>8706.79</v>
      </c>
      <c r="O30" s="36">
        <v>278</v>
      </c>
      <c r="P30" s="37">
        <v>0.0045</v>
      </c>
      <c r="Q30" s="36">
        <v>930</v>
      </c>
      <c r="R30" s="14">
        <v>0.0149</v>
      </c>
      <c r="S30" s="36">
        <v>758</v>
      </c>
      <c r="T30" s="14">
        <v>0.0122</v>
      </c>
      <c r="U30" s="30">
        <v>47689</v>
      </c>
      <c r="V30" s="37">
        <v>0.7651</v>
      </c>
      <c r="W30" s="14">
        <v>0.7635</v>
      </c>
      <c r="X30" s="30">
        <v>2387</v>
      </c>
      <c r="Y30" s="14">
        <v>0.0383</v>
      </c>
      <c r="Z30" s="20">
        <v>6676</v>
      </c>
      <c r="AA30" s="37">
        <v>0.1071</v>
      </c>
    </row>
    <row r="31" spans="1:27">
      <c r="A31" s="27">
        <v>46201</v>
      </c>
      <c r="B31" s="28" t="s">
        <v>34</v>
      </c>
      <c r="C31" s="20">
        <v>860</v>
      </c>
      <c r="D31" s="29">
        <v>0.24</v>
      </c>
      <c r="E31" s="30">
        <v>60935</v>
      </c>
      <c r="F31" s="30">
        <v>3655</v>
      </c>
      <c r="G31" s="30">
        <v>57601</v>
      </c>
      <c r="H31" s="14">
        <v>0.0149</v>
      </c>
      <c r="I31" s="14">
        <v>0.4799</v>
      </c>
      <c r="J31" s="31">
        <v>5415</v>
      </c>
      <c r="K31" s="32">
        <v>44.26</v>
      </c>
      <c r="L31" s="33">
        <v>6905</v>
      </c>
      <c r="M31" s="34">
        <v>8057.72</v>
      </c>
      <c r="N31" s="35">
        <v>8053.47</v>
      </c>
      <c r="O31" s="36">
        <v>247</v>
      </c>
      <c r="P31" s="37">
        <v>0.0043</v>
      </c>
      <c r="Q31" s="36">
        <v>1672</v>
      </c>
      <c r="R31" s="37">
        <v>0.029</v>
      </c>
      <c r="S31" s="36">
        <v>604</v>
      </c>
      <c r="T31" s="14">
        <v>0.0105</v>
      </c>
      <c r="U31" s="30">
        <v>46144</v>
      </c>
      <c r="V31" s="37">
        <v>0.8011</v>
      </c>
      <c r="W31" s="14">
        <v>0.8109</v>
      </c>
      <c r="X31" s="30">
        <v>350</v>
      </c>
      <c r="Y31" s="14">
        <v>0.0061</v>
      </c>
      <c r="Z31" s="20">
        <v>6460</v>
      </c>
      <c r="AA31" s="37">
        <v>0.1122</v>
      </c>
    </row>
    <row r="32" spans="1:27">
      <c r="A32" s="27">
        <v>46202</v>
      </c>
      <c r="B32" s="28" t="s">
        <v>28</v>
      </c>
      <c r="C32" s="20">
        <v>1295</v>
      </c>
      <c r="D32" s="29">
        <v>0.36</v>
      </c>
      <c r="E32" s="30">
        <v>53835</v>
      </c>
      <c r="F32" s="30">
        <v>3642</v>
      </c>
      <c r="G32" s="30">
        <v>55870</v>
      </c>
      <c r="H32" s="14">
        <v>0.0232</v>
      </c>
      <c r="I32" s="14">
        <v>0.4786</v>
      </c>
      <c r="J32" s="31">
        <v>6284</v>
      </c>
      <c r="K32" s="32">
        <v>755.02</v>
      </c>
      <c r="L32" s="33">
        <v>6538</v>
      </c>
      <c r="M32" s="34">
        <v>7825.67</v>
      </c>
      <c r="N32" s="35">
        <v>7792.67</v>
      </c>
      <c r="O32" s="36">
        <v>279</v>
      </c>
      <c r="P32" s="37">
        <v>0.005</v>
      </c>
      <c r="Q32" s="36">
        <v>1573</v>
      </c>
      <c r="R32" s="37">
        <v>0.0282</v>
      </c>
      <c r="S32" s="36">
        <v>1696</v>
      </c>
      <c r="T32" s="37">
        <v>0.0304</v>
      </c>
      <c r="U32" s="30">
        <v>35513</v>
      </c>
      <c r="V32" s="14">
        <v>0.6356</v>
      </c>
      <c r="W32" s="14">
        <v>0.654</v>
      </c>
      <c r="X32" s="30">
        <v>6467</v>
      </c>
      <c r="Y32" s="37">
        <v>0.1158</v>
      </c>
      <c r="Z32" s="20">
        <v>4972</v>
      </c>
      <c r="AA32" s="14">
        <v>0.089</v>
      </c>
    </row>
    <row r="33" spans="1:27">
      <c r="A33" s="27">
        <v>46203</v>
      </c>
      <c r="B33" s="28" t="s">
        <v>29</v>
      </c>
      <c r="C33" s="20">
        <v>484</v>
      </c>
      <c r="D33" s="29">
        <v>0.12</v>
      </c>
      <c r="E33" s="30">
        <v>70298</v>
      </c>
      <c r="F33" s="30">
        <v>3978</v>
      </c>
      <c r="G33" s="30">
        <v>63599</v>
      </c>
      <c r="H33" s="14">
        <v>0.0076</v>
      </c>
      <c r="I33" s="14">
        <v>0.3718</v>
      </c>
      <c r="J33" s="31">
        <v>5984</v>
      </c>
      <c r="K33" s="32">
        <v>978.59</v>
      </c>
      <c r="L33" s="33">
        <v>6653</v>
      </c>
      <c r="M33" s="34">
        <v>8903.61</v>
      </c>
      <c r="N33" s="35">
        <v>8884.61</v>
      </c>
      <c r="O33" s="36">
        <v>97</v>
      </c>
      <c r="P33" s="14">
        <v>0.0015</v>
      </c>
      <c r="Q33" s="36">
        <v>1619</v>
      </c>
      <c r="R33" s="37">
        <v>0.0255</v>
      </c>
      <c r="S33" s="36">
        <v>1497</v>
      </c>
      <c r="T33" s="37">
        <v>0.0235</v>
      </c>
      <c r="U33" s="30">
        <v>44288</v>
      </c>
      <c r="V33" s="37">
        <v>0.6964</v>
      </c>
      <c r="W33" s="14">
        <v>0.7021</v>
      </c>
      <c r="X33" s="30">
        <v>8030</v>
      </c>
      <c r="Y33" s="37">
        <v>0.1263</v>
      </c>
      <c r="Z33" s="20">
        <v>6200</v>
      </c>
      <c r="AA33" s="37">
        <v>0.0975</v>
      </c>
    </row>
  </sheetData>
  <sheetProtection formatCells="0" formatColumns="0" formatRows="0" insertRows="0" insertColumns="0" insertHyperlinks="0" deleteColumns="0" deleteRows="0" sort="0" autoFilter="0" pivotTables="0"/>
  <mergeCells count="11">
    <mergeCell ref="A3:B3"/>
    <mergeCell ref="D2:D3"/>
    <mergeCell ref="H2:H3"/>
    <mergeCell ref="I2:I3"/>
    <mergeCell ref="P2:P3"/>
    <mergeCell ref="R2:R3"/>
    <mergeCell ref="T2:T3"/>
    <mergeCell ref="V2:V3"/>
    <mergeCell ref="W2:W3"/>
    <mergeCell ref="Y2:Y3"/>
    <mergeCell ref="AA2:AA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11.3307692307692" defaultRowHeight="14.5"/>
  <cols>
    <col min="1" max="1" width="16.8923076923077" style="1" customWidth="1"/>
    <col min="2" max="16384" width="11.3307692307692" style="1"/>
  </cols>
  <sheetData>
    <row r="1" spans="1:27">
      <c r="A1" s="2" t="s">
        <v>37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10" t="s">
        <v>13</v>
      </c>
      <c r="O1" s="8" t="s">
        <v>14</v>
      </c>
      <c r="P1" s="11" t="s">
        <v>15</v>
      </c>
      <c r="Q1" s="8" t="s">
        <v>16</v>
      </c>
      <c r="R1" s="11" t="s">
        <v>17</v>
      </c>
      <c r="S1" s="8" t="s">
        <v>18</v>
      </c>
      <c r="T1" s="11" t="s">
        <v>19</v>
      </c>
      <c r="U1" s="5" t="s">
        <v>20</v>
      </c>
      <c r="V1" s="10" t="s">
        <v>21</v>
      </c>
      <c r="W1" s="6" t="s">
        <v>22</v>
      </c>
      <c r="X1" s="10" t="s">
        <v>23</v>
      </c>
      <c r="Y1" s="10" t="s">
        <v>24</v>
      </c>
      <c r="Z1" s="5" t="s">
        <v>25</v>
      </c>
      <c r="AA1" s="11" t="s">
        <v>26</v>
      </c>
    </row>
    <row r="2" ht="19.5" customHeight="1" spans="1:27">
      <c r="A2" s="12">
        <v>12578</v>
      </c>
      <c r="B2" s="13">
        <v>27900</v>
      </c>
      <c r="C2" s="14">
        <v>0.4508</v>
      </c>
      <c r="D2" s="15">
        <v>0.4</v>
      </c>
      <c r="E2" s="16">
        <f t="shared" ref="E2:G2" si="0">SUM(E4:E33)</f>
        <v>1619410</v>
      </c>
      <c r="F2" s="16">
        <f t="shared" si="0"/>
        <v>31614</v>
      </c>
      <c r="G2" s="16">
        <f t="shared" si="0"/>
        <v>460833</v>
      </c>
      <c r="H2" s="17">
        <f>AVERAGE(H4:H33)</f>
        <v>0.03047</v>
      </c>
      <c r="I2" s="17">
        <f>AVERAGE(I4:I33)</f>
        <v>0.404603846153846</v>
      </c>
      <c r="J2" s="18">
        <f t="shared" ref="J2:O2" si="1">SUM(J4:J33)</f>
        <v>78327</v>
      </c>
      <c r="K2" s="18">
        <f t="shared" si="1"/>
        <v>21117.64</v>
      </c>
      <c r="L2" s="18">
        <f t="shared" si="1"/>
        <v>1233</v>
      </c>
      <c r="M2" s="19">
        <f t="shared" si="1"/>
        <v>64576.26</v>
      </c>
      <c r="N2" s="19">
        <f t="shared" si="1"/>
        <v>64569.25</v>
      </c>
      <c r="O2" s="19">
        <f t="shared" si="1"/>
        <v>610</v>
      </c>
      <c r="P2" s="17">
        <f t="shared" ref="P2:T2" si="2">AVERAGE(P4:P33)</f>
        <v>0.00151666666666667</v>
      </c>
      <c r="Q2" s="20">
        <f t="shared" ref="Q2:U2" si="3">SUM(Q4:Q33)</f>
        <v>1522</v>
      </c>
      <c r="R2" s="17">
        <f t="shared" si="2"/>
        <v>0.00288</v>
      </c>
      <c r="S2" s="20">
        <f t="shared" si="3"/>
        <v>9332</v>
      </c>
      <c r="T2" s="17">
        <f t="shared" si="2"/>
        <v>0.0217033333333333</v>
      </c>
      <c r="U2" s="16">
        <f t="shared" si="3"/>
        <v>6304</v>
      </c>
      <c r="V2" s="17">
        <f t="shared" ref="V2:Y2" si="4">AVERAGE(V4:V33)</f>
        <v>0.01505</v>
      </c>
      <c r="W2" s="21" t="e">
        <f t="shared" si="4"/>
        <v>#VALUE!</v>
      </c>
      <c r="X2" s="16">
        <f>SUM(X4:X33)</f>
        <v>184210</v>
      </c>
      <c r="Y2" s="17">
        <f t="shared" si="4"/>
        <v>0.355433333333333</v>
      </c>
      <c r="Z2" s="20">
        <f>SUM(Z4:Z33)</f>
        <v>881</v>
      </c>
      <c r="AA2" s="17">
        <f>AVERAGE(AA4:AA33)</f>
        <v>0.0021</v>
      </c>
    </row>
    <row r="3" ht="19.5" customHeight="1" spans="1:27">
      <c r="A3" s="22" t="s">
        <v>27</v>
      </c>
      <c r="B3" s="22"/>
      <c r="C3" s="23">
        <v>443</v>
      </c>
      <c r="D3" s="15"/>
      <c r="E3" s="24">
        <f t="shared" ref="E3:G3" si="5">AVERAGE(E4:E33)</f>
        <v>53980.3333333333</v>
      </c>
      <c r="F3" s="24">
        <f t="shared" si="5"/>
        <v>1053.8</v>
      </c>
      <c r="G3" s="24">
        <f t="shared" si="5"/>
        <v>15361.1</v>
      </c>
      <c r="H3" s="17"/>
      <c r="I3" s="17"/>
      <c r="J3" s="25">
        <f t="shared" ref="J3:O3" si="6">AVERAGE(J4:J33)</f>
        <v>2610.9</v>
      </c>
      <c r="K3" s="25">
        <f t="shared" si="6"/>
        <v>703.921333333333</v>
      </c>
      <c r="L3" s="25">
        <f t="shared" si="6"/>
        <v>41.1</v>
      </c>
      <c r="M3" s="26">
        <f t="shared" si="6"/>
        <v>2152.542</v>
      </c>
      <c r="N3" s="26">
        <f t="shared" si="6"/>
        <v>2152.30833333333</v>
      </c>
      <c r="O3" s="23">
        <f t="shared" si="6"/>
        <v>20.3333333333333</v>
      </c>
      <c r="P3" s="17"/>
      <c r="Q3" s="23">
        <f t="shared" ref="Q3:U3" si="7">AVERAGE(Q4:Q33)</f>
        <v>50.7333333333333</v>
      </c>
      <c r="R3" s="17"/>
      <c r="S3" s="23">
        <f t="shared" si="7"/>
        <v>311.066666666667</v>
      </c>
      <c r="T3" s="17"/>
      <c r="U3" s="24">
        <f t="shared" si="7"/>
        <v>210.133333333333</v>
      </c>
      <c r="V3" s="17"/>
      <c r="W3" s="21"/>
      <c r="X3" s="24">
        <f>AVERAGE(X4:X33)</f>
        <v>6140.33333333333</v>
      </c>
      <c r="Y3" s="17"/>
      <c r="Z3" s="23">
        <f>AVERAGE(Z4:Z33)</f>
        <v>29.3666666666667</v>
      </c>
      <c r="AA3" s="17"/>
    </row>
    <row r="4" spans="1:27">
      <c r="A4" s="27">
        <v>46174</v>
      </c>
      <c r="B4" s="28" t="s">
        <v>28</v>
      </c>
      <c r="C4" s="20">
        <v>459</v>
      </c>
      <c r="D4" s="29">
        <v>0.52</v>
      </c>
      <c r="E4" s="30">
        <v>37923</v>
      </c>
      <c r="F4" s="30">
        <v>877</v>
      </c>
      <c r="G4" s="30">
        <v>12677</v>
      </c>
      <c r="H4" s="14">
        <v>0.0362</v>
      </c>
      <c r="I4" s="14">
        <v>0.4493</v>
      </c>
      <c r="J4" s="31">
        <v>2381</v>
      </c>
      <c r="K4" s="32">
        <v>480.07</v>
      </c>
      <c r="L4" s="33">
        <v>17</v>
      </c>
      <c r="M4" s="34">
        <v>1777.41</v>
      </c>
      <c r="N4" s="35">
        <v>1777.41</v>
      </c>
      <c r="O4" s="36">
        <v>10</v>
      </c>
      <c r="P4" s="37">
        <v>0.0008</v>
      </c>
      <c r="Q4" s="36">
        <v>13</v>
      </c>
      <c r="R4" s="37">
        <v>0.001</v>
      </c>
      <c r="S4" s="36">
        <v>291</v>
      </c>
      <c r="T4" s="37">
        <v>0.0229</v>
      </c>
      <c r="U4" s="30">
        <v>114</v>
      </c>
      <c r="V4" s="14">
        <v>0.009</v>
      </c>
      <c r="W4" s="14">
        <v>0.0114</v>
      </c>
      <c r="X4" s="30">
        <v>4130</v>
      </c>
      <c r="Y4" s="14">
        <v>0.3258</v>
      </c>
      <c r="Z4" s="20">
        <v>16</v>
      </c>
      <c r="AA4" s="14">
        <v>0.0013</v>
      </c>
    </row>
    <row r="5" spans="1:27">
      <c r="A5" s="27">
        <v>46175</v>
      </c>
      <c r="B5" s="28" t="s">
        <v>29</v>
      </c>
      <c r="C5" s="20">
        <v>374</v>
      </c>
      <c r="D5" s="29">
        <v>0.48</v>
      </c>
      <c r="E5" s="30">
        <v>30138</v>
      </c>
      <c r="F5" s="30">
        <v>781</v>
      </c>
      <c r="G5" s="30">
        <v>10613</v>
      </c>
      <c r="H5" s="14">
        <v>0.0353</v>
      </c>
      <c r="I5" s="14">
        <v>0.4059</v>
      </c>
      <c r="J5" s="31">
        <v>2039</v>
      </c>
      <c r="K5" s="32">
        <v>360.01</v>
      </c>
      <c r="L5" s="33">
        <v>35</v>
      </c>
      <c r="M5" s="34">
        <v>1485.86</v>
      </c>
      <c r="N5" s="35">
        <v>1485.86</v>
      </c>
      <c r="O5" s="36">
        <v>0</v>
      </c>
      <c r="P5" s="14">
        <v>0</v>
      </c>
      <c r="Q5" s="36">
        <v>40</v>
      </c>
      <c r="R5" s="37">
        <v>0.0038</v>
      </c>
      <c r="S5" s="36">
        <v>251</v>
      </c>
      <c r="T5" s="37">
        <v>0.0237</v>
      </c>
      <c r="U5" s="30">
        <v>61</v>
      </c>
      <c r="V5" s="14">
        <v>0.0058</v>
      </c>
      <c r="W5" s="14">
        <v>0.0051</v>
      </c>
      <c r="X5" s="30">
        <v>3080</v>
      </c>
      <c r="Y5" s="14">
        <v>0.2902</v>
      </c>
      <c r="Z5" s="20">
        <v>9</v>
      </c>
      <c r="AA5" s="14">
        <v>0.0008</v>
      </c>
    </row>
    <row r="6" spans="1:27">
      <c r="A6" s="27">
        <v>46176</v>
      </c>
      <c r="B6" s="28" t="s">
        <v>30</v>
      </c>
      <c r="C6" s="20">
        <v>328</v>
      </c>
      <c r="D6" s="29">
        <v>0.49</v>
      </c>
      <c r="E6" s="38">
        <v>24928</v>
      </c>
      <c r="F6" s="30">
        <v>673</v>
      </c>
      <c r="G6" s="30">
        <v>9063</v>
      </c>
      <c r="H6" s="14">
        <v>0.0362</v>
      </c>
      <c r="I6" s="14">
        <v>0.4131</v>
      </c>
      <c r="J6" s="31">
        <v>1700</v>
      </c>
      <c r="K6" s="32">
        <v>325.85</v>
      </c>
      <c r="L6" s="33">
        <v>35</v>
      </c>
      <c r="M6" s="34">
        <v>1268.85</v>
      </c>
      <c r="N6" s="35">
        <v>1268.85</v>
      </c>
      <c r="O6" s="36">
        <v>20</v>
      </c>
      <c r="P6" s="37">
        <v>0.0022</v>
      </c>
      <c r="Q6" s="36">
        <v>13</v>
      </c>
      <c r="R6" s="37">
        <v>0.0015</v>
      </c>
      <c r="S6" s="36">
        <v>189</v>
      </c>
      <c r="T6" s="14">
        <v>0.0208</v>
      </c>
      <c r="U6" s="30">
        <v>182</v>
      </c>
      <c r="V6" s="37">
        <v>0.02</v>
      </c>
      <c r="W6" s="14">
        <v>0.0223</v>
      </c>
      <c r="X6" s="30">
        <v>2857</v>
      </c>
      <c r="Y6" s="14">
        <v>0.3152</v>
      </c>
      <c r="Z6" s="20">
        <v>25</v>
      </c>
      <c r="AA6" s="37">
        <v>0.0028</v>
      </c>
    </row>
    <row r="7" spans="1:27">
      <c r="A7" s="27">
        <v>46177</v>
      </c>
      <c r="B7" s="28" t="s">
        <v>31</v>
      </c>
      <c r="C7" s="20">
        <v>293</v>
      </c>
      <c r="D7" s="29">
        <v>0.38</v>
      </c>
      <c r="E7" s="30">
        <v>27813</v>
      </c>
      <c r="F7" s="30">
        <v>771</v>
      </c>
      <c r="G7" s="30">
        <v>10042</v>
      </c>
      <c r="H7" s="14">
        <v>0.0292</v>
      </c>
      <c r="I7" s="14">
        <v>0.4215</v>
      </c>
      <c r="J7" s="31">
        <v>1897</v>
      </c>
      <c r="K7" s="32">
        <v>350.65</v>
      </c>
      <c r="L7" s="33">
        <v>35</v>
      </c>
      <c r="M7" s="34">
        <v>1405.87</v>
      </c>
      <c r="N7" s="35">
        <v>1405.87</v>
      </c>
      <c r="O7" s="36">
        <v>10</v>
      </c>
      <c r="P7" s="37">
        <v>0.001</v>
      </c>
      <c r="Q7" s="36">
        <v>4</v>
      </c>
      <c r="R7" s="14">
        <v>0.0004</v>
      </c>
      <c r="S7" s="36">
        <v>299</v>
      </c>
      <c r="T7" s="37">
        <v>0.0298</v>
      </c>
      <c r="U7" s="30">
        <v>218</v>
      </c>
      <c r="V7" s="37">
        <v>0.0217</v>
      </c>
      <c r="W7" s="14">
        <v>0.0195</v>
      </c>
      <c r="X7" s="30">
        <v>3008</v>
      </c>
      <c r="Y7" s="14">
        <v>0.2995</v>
      </c>
      <c r="Z7" s="20">
        <v>31</v>
      </c>
      <c r="AA7" s="37">
        <v>0.003</v>
      </c>
    </row>
    <row r="8" spans="1:27">
      <c r="A8" s="27">
        <v>46178</v>
      </c>
      <c r="B8" s="28" t="s">
        <v>32</v>
      </c>
      <c r="C8" s="20">
        <v>561</v>
      </c>
      <c r="D8" s="29">
        <v>0.54</v>
      </c>
      <c r="E8" s="30">
        <v>57600</v>
      </c>
      <c r="F8" s="30">
        <v>1042</v>
      </c>
      <c r="G8" s="30">
        <v>14344</v>
      </c>
      <c r="H8" s="14">
        <v>0.0388</v>
      </c>
      <c r="I8" s="14">
        <v>0.4029</v>
      </c>
      <c r="J8" s="31">
        <v>2796</v>
      </c>
      <c r="K8" s="32">
        <v>444.57</v>
      </c>
      <c r="L8" s="33">
        <v>35</v>
      </c>
      <c r="M8" s="34">
        <v>2021.17</v>
      </c>
      <c r="N8" s="35">
        <v>2021.17</v>
      </c>
      <c r="O8" s="36">
        <v>0</v>
      </c>
      <c r="P8" s="14">
        <v>0</v>
      </c>
      <c r="Q8" s="36">
        <v>33</v>
      </c>
      <c r="R8" s="37">
        <v>0.0023</v>
      </c>
      <c r="S8" s="36">
        <v>304</v>
      </c>
      <c r="T8" s="37">
        <v>0.0212</v>
      </c>
      <c r="U8" s="30">
        <v>299</v>
      </c>
      <c r="V8" s="37">
        <v>0.0207</v>
      </c>
      <c r="W8" s="14">
        <v>0.0202</v>
      </c>
      <c r="X8" s="30">
        <v>4136</v>
      </c>
      <c r="Y8" s="14">
        <v>0.2884</v>
      </c>
      <c r="Z8" s="20">
        <v>42</v>
      </c>
      <c r="AA8" s="37">
        <v>0.0029</v>
      </c>
    </row>
    <row r="9" spans="1:27">
      <c r="A9" s="27">
        <v>46179</v>
      </c>
      <c r="B9" s="28" t="s">
        <v>33</v>
      </c>
      <c r="C9" s="20">
        <v>789</v>
      </c>
      <c r="D9" s="29">
        <v>0.64</v>
      </c>
      <c r="E9" s="30">
        <v>76369</v>
      </c>
      <c r="F9" s="30">
        <v>1239</v>
      </c>
      <c r="G9" s="30">
        <v>17635</v>
      </c>
      <c r="H9" s="14">
        <v>0.0445</v>
      </c>
      <c r="I9" s="14">
        <v>0.4048</v>
      </c>
      <c r="J9" s="31">
        <v>3387</v>
      </c>
      <c r="K9" s="32">
        <v>608.62</v>
      </c>
      <c r="L9" s="33">
        <v>35</v>
      </c>
      <c r="M9" s="34">
        <v>2478.3</v>
      </c>
      <c r="N9" s="35">
        <v>2478.3</v>
      </c>
      <c r="O9" s="36">
        <v>10</v>
      </c>
      <c r="P9" s="14">
        <v>0.0006</v>
      </c>
      <c r="Q9" s="36">
        <v>9</v>
      </c>
      <c r="R9" s="14">
        <v>0.0005</v>
      </c>
      <c r="S9" s="36">
        <v>306</v>
      </c>
      <c r="T9" s="14">
        <v>0.0173</v>
      </c>
      <c r="U9" s="30">
        <v>143</v>
      </c>
      <c r="V9" s="14">
        <v>0.0081</v>
      </c>
      <c r="W9" s="14">
        <v>0.0089</v>
      </c>
      <c r="X9" s="30">
        <v>5026</v>
      </c>
      <c r="Y9" s="14">
        <v>0.285</v>
      </c>
      <c r="Z9" s="20">
        <v>20</v>
      </c>
      <c r="AA9" s="14">
        <v>0.0011</v>
      </c>
    </row>
    <row r="10" spans="1:27">
      <c r="A10" s="27">
        <v>46180</v>
      </c>
      <c r="B10" s="28" t="s">
        <v>34</v>
      </c>
      <c r="C10" s="20">
        <v>628</v>
      </c>
      <c r="D10" s="29">
        <v>0.59</v>
      </c>
      <c r="E10" s="30">
        <v>78181</v>
      </c>
      <c r="F10" s="30">
        <v>1061</v>
      </c>
      <c r="G10" s="30">
        <v>15857</v>
      </c>
      <c r="H10" s="14">
        <v>0.0395</v>
      </c>
      <c r="I10" s="14">
        <v>0.3606</v>
      </c>
      <c r="J10" s="31">
        <v>3024</v>
      </c>
      <c r="K10" s="32">
        <v>520.61</v>
      </c>
      <c r="L10" s="33">
        <v>35</v>
      </c>
      <c r="M10" s="34">
        <v>2223.3</v>
      </c>
      <c r="N10" s="35">
        <v>2223.3</v>
      </c>
      <c r="O10" s="36">
        <v>0</v>
      </c>
      <c r="P10" s="14">
        <v>0</v>
      </c>
      <c r="Q10" s="36">
        <v>32</v>
      </c>
      <c r="R10" s="37">
        <v>0.002</v>
      </c>
      <c r="S10" s="36">
        <v>299</v>
      </c>
      <c r="T10" s="14">
        <v>0.0188</v>
      </c>
      <c r="U10" s="30">
        <v>333</v>
      </c>
      <c r="V10" s="37">
        <v>0.021</v>
      </c>
      <c r="W10" s="14">
        <v>0.0217</v>
      </c>
      <c r="X10" s="30">
        <v>4306</v>
      </c>
      <c r="Y10" s="14">
        <v>0.2716</v>
      </c>
      <c r="Z10" s="20">
        <v>47</v>
      </c>
      <c r="AA10" s="37">
        <v>0.0029</v>
      </c>
    </row>
    <row r="11" spans="1:27">
      <c r="A11" s="27">
        <v>46181</v>
      </c>
      <c r="B11" s="28" t="s">
        <v>28</v>
      </c>
      <c r="C11" s="20">
        <v>470</v>
      </c>
      <c r="D11" s="29">
        <v>0.44</v>
      </c>
      <c r="E11" s="30">
        <v>52894</v>
      </c>
      <c r="F11" s="30">
        <v>1072</v>
      </c>
      <c r="G11" s="30">
        <v>15226</v>
      </c>
      <c r="H11" s="14">
        <v>0.0307</v>
      </c>
      <c r="I11" s="14">
        <v>0.3948</v>
      </c>
      <c r="J11" s="31">
        <v>2616</v>
      </c>
      <c r="K11" s="32">
        <v>696.26</v>
      </c>
      <c r="L11" s="33">
        <v>35</v>
      </c>
      <c r="M11" s="34">
        <v>2137.5</v>
      </c>
      <c r="N11" s="35">
        <v>2137.5</v>
      </c>
      <c r="O11" s="36">
        <v>10</v>
      </c>
      <c r="P11" s="14">
        <v>0.0007</v>
      </c>
      <c r="Q11" s="36">
        <v>43</v>
      </c>
      <c r="R11" s="37">
        <v>0.0029</v>
      </c>
      <c r="S11" s="36">
        <v>297</v>
      </c>
      <c r="T11" s="14">
        <v>0.0195</v>
      </c>
      <c r="U11" s="30">
        <v>137</v>
      </c>
      <c r="V11" s="14">
        <v>0.0089</v>
      </c>
      <c r="W11" s="14">
        <v>0.0093</v>
      </c>
      <c r="X11" s="30">
        <v>6174</v>
      </c>
      <c r="Y11" s="37">
        <v>0.4055</v>
      </c>
      <c r="Z11" s="20">
        <v>19</v>
      </c>
      <c r="AA11" s="14">
        <v>0.0013</v>
      </c>
    </row>
    <row r="12" spans="1:27">
      <c r="A12" s="27">
        <v>46182</v>
      </c>
      <c r="B12" s="28" t="s">
        <v>29</v>
      </c>
      <c r="C12" s="20">
        <v>489</v>
      </c>
      <c r="D12" s="29">
        <v>0.41</v>
      </c>
      <c r="E12" s="30">
        <v>53914</v>
      </c>
      <c r="F12" s="30">
        <v>1203</v>
      </c>
      <c r="G12" s="30">
        <v>15932</v>
      </c>
      <c r="H12" s="14">
        <v>0.0307</v>
      </c>
      <c r="I12" s="14">
        <v>0.3732</v>
      </c>
      <c r="J12" s="31">
        <v>2730</v>
      </c>
      <c r="K12" s="32">
        <v>739.14</v>
      </c>
      <c r="L12" s="33">
        <v>18</v>
      </c>
      <c r="M12" s="34">
        <v>2230.55</v>
      </c>
      <c r="N12" s="35">
        <v>2230.55</v>
      </c>
      <c r="O12" s="36">
        <v>0</v>
      </c>
      <c r="P12" s="14">
        <v>0</v>
      </c>
      <c r="Q12" s="36">
        <v>22</v>
      </c>
      <c r="R12" s="14">
        <v>0.0014</v>
      </c>
      <c r="S12" s="36">
        <v>316</v>
      </c>
      <c r="T12" s="14">
        <v>0.0198</v>
      </c>
      <c r="U12" s="30">
        <v>143</v>
      </c>
      <c r="V12" s="14">
        <v>0.0089</v>
      </c>
      <c r="W12" s="14">
        <v>0.0075</v>
      </c>
      <c r="X12" s="30">
        <v>6571</v>
      </c>
      <c r="Y12" s="37">
        <v>0.4124</v>
      </c>
      <c r="Z12" s="20">
        <v>20</v>
      </c>
      <c r="AA12" s="14">
        <v>0.0013</v>
      </c>
    </row>
    <row r="13" spans="1:27">
      <c r="A13" s="27">
        <v>46183</v>
      </c>
      <c r="B13" s="28" t="s">
        <v>30</v>
      </c>
      <c r="C13" s="20">
        <v>387</v>
      </c>
      <c r="D13" s="29">
        <v>0.4</v>
      </c>
      <c r="E13" s="30">
        <v>34317</v>
      </c>
      <c r="F13" s="30">
        <v>959</v>
      </c>
      <c r="G13" s="30">
        <v>13609</v>
      </c>
      <c r="H13" s="14">
        <v>0.0284</v>
      </c>
      <c r="I13" s="14">
        <v>0.44</v>
      </c>
      <c r="J13" s="31">
        <v>2330</v>
      </c>
      <c r="K13" s="32">
        <v>625.92</v>
      </c>
      <c r="L13" s="33">
        <v>35</v>
      </c>
      <c r="M13" s="34">
        <v>1903.6</v>
      </c>
      <c r="N13" s="35">
        <v>1903.6</v>
      </c>
      <c r="O13" s="36">
        <v>30</v>
      </c>
      <c r="P13" s="37">
        <v>0.0022</v>
      </c>
      <c r="Q13" s="36">
        <v>11</v>
      </c>
      <c r="R13" s="14">
        <v>0.0008</v>
      </c>
      <c r="S13" s="36">
        <v>303</v>
      </c>
      <c r="T13" s="37">
        <v>0.0222</v>
      </c>
      <c r="U13" s="30">
        <v>112</v>
      </c>
      <c r="V13" s="14">
        <v>0.0083</v>
      </c>
      <c r="W13" s="14">
        <v>0.0073</v>
      </c>
      <c r="X13" s="30">
        <v>5478</v>
      </c>
      <c r="Y13" s="37">
        <v>0.4025</v>
      </c>
      <c r="Z13" s="20">
        <v>16</v>
      </c>
      <c r="AA13" s="14">
        <v>0.0012</v>
      </c>
    </row>
    <row r="14" spans="1:27">
      <c r="A14" s="27">
        <v>46184</v>
      </c>
      <c r="B14" s="28" t="s">
        <v>31</v>
      </c>
      <c r="C14" s="20">
        <v>204</v>
      </c>
      <c r="D14" s="29">
        <v>0.24</v>
      </c>
      <c r="E14" s="30">
        <v>30313</v>
      </c>
      <c r="F14" s="30">
        <v>859</v>
      </c>
      <c r="G14" s="30">
        <v>11857</v>
      </c>
      <c r="H14" s="14">
        <v>0.0172</v>
      </c>
      <c r="I14" s="14">
        <v>0.4633</v>
      </c>
      <c r="J14" s="31">
        <v>1946</v>
      </c>
      <c r="K14" s="32">
        <v>605.13</v>
      </c>
      <c r="L14" s="33">
        <v>17</v>
      </c>
      <c r="M14" s="34">
        <v>1659.27</v>
      </c>
      <c r="N14" s="35">
        <v>1659.27</v>
      </c>
      <c r="O14" s="36">
        <v>90</v>
      </c>
      <c r="P14" s="37">
        <v>0.0076</v>
      </c>
      <c r="Q14" s="36">
        <v>19</v>
      </c>
      <c r="R14" s="14">
        <v>0.0016</v>
      </c>
      <c r="S14" s="36">
        <v>281</v>
      </c>
      <c r="T14" s="37">
        <v>0.0237</v>
      </c>
      <c r="U14" s="30">
        <v>13</v>
      </c>
      <c r="V14" s="14">
        <v>0.0011</v>
      </c>
      <c r="W14" s="42">
        <v>0.0012</v>
      </c>
      <c r="X14" s="30">
        <v>5208</v>
      </c>
      <c r="Y14" s="37">
        <v>0.4392</v>
      </c>
      <c r="Z14" s="20">
        <v>2</v>
      </c>
      <c r="AA14" s="14">
        <v>0.0001</v>
      </c>
    </row>
    <row r="15" spans="1:27">
      <c r="A15" s="27">
        <v>46185</v>
      </c>
      <c r="B15" s="28" t="s">
        <v>32</v>
      </c>
      <c r="C15" s="20">
        <v>396</v>
      </c>
      <c r="D15" s="29">
        <v>0.4</v>
      </c>
      <c r="E15" s="30">
        <v>42375</v>
      </c>
      <c r="F15" s="30">
        <v>980</v>
      </c>
      <c r="G15" s="30">
        <v>14110</v>
      </c>
      <c r="H15" s="14">
        <v>0.0281</v>
      </c>
      <c r="I15" s="14">
        <v>0.4541</v>
      </c>
      <c r="J15" s="31">
        <v>2577</v>
      </c>
      <c r="K15" s="32">
        <v>545.3</v>
      </c>
      <c r="L15" s="33">
        <v>34</v>
      </c>
      <c r="M15" s="34">
        <v>1974.91</v>
      </c>
      <c r="N15" s="35">
        <v>1974.91</v>
      </c>
      <c r="O15" s="36">
        <v>0</v>
      </c>
      <c r="P15" s="14">
        <v>0</v>
      </c>
      <c r="Q15" s="36">
        <v>19</v>
      </c>
      <c r="R15" s="14">
        <v>0.0013</v>
      </c>
      <c r="S15" s="36">
        <v>400</v>
      </c>
      <c r="T15" s="37">
        <v>0.0284</v>
      </c>
      <c r="U15" s="30">
        <v>250</v>
      </c>
      <c r="V15" s="37">
        <v>0.0177</v>
      </c>
      <c r="W15" s="14">
        <v>0.0163</v>
      </c>
      <c r="X15" s="30">
        <v>4800</v>
      </c>
      <c r="Y15" s="14">
        <v>0.3402</v>
      </c>
      <c r="Z15" s="20">
        <v>35</v>
      </c>
      <c r="AA15" s="37">
        <v>0.0025</v>
      </c>
    </row>
    <row r="16" spans="1:27">
      <c r="A16" s="27">
        <v>46186</v>
      </c>
      <c r="B16" s="28" t="s">
        <v>33</v>
      </c>
      <c r="C16" s="20">
        <v>751</v>
      </c>
      <c r="D16" s="29">
        <v>0.51</v>
      </c>
      <c r="E16" s="30">
        <v>101221</v>
      </c>
      <c r="F16" s="30">
        <v>1479</v>
      </c>
      <c r="G16" s="30">
        <v>21005</v>
      </c>
      <c r="H16" s="14">
        <v>0.0357</v>
      </c>
      <c r="I16" s="14">
        <v>0.3516</v>
      </c>
      <c r="J16" s="31">
        <v>3926</v>
      </c>
      <c r="K16" s="32">
        <v>727.91</v>
      </c>
      <c r="L16" s="33">
        <v>34</v>
      </c>
      <c r="M16" s="34">
        <v>2939.3</v>
      </c>
      <c r="N16" s="35">
        <v>2939.3</v>
      </c>
      <c r="O16" s="36">
        <v>40</v>
      </c>
      <c r="P16" s="37">
        <v>0.0019</v>
      </c>
      <c r="Q16" s="36">
        <v>2</v>
      </c>
      <c r="R16" s="14">
        <v>0.0001</v>
      </c>
      <c r="S16" s="36">
        <v>406</v>
      </c>
      <c r="T16" s="14">
        <v>0.0193</v>
      </c>
      <c r="U16" s="30">
        <v>365</v>
      </c>
      <c r="V16" s="37">
        <v>0.0174</v>
      </c>
      <c r="W16" s="14">
        <v>0.0135</v>
      </c>
      <c r="X16" s="30">
        <v>6353</v>
      </c>
      <c r="Y16" s="14">
        <v>0.3025</v>
      </c>
      <c r="Z16" s="20">
        <v>51</v>
      </c>
      <c r="AA16" s="37">
        <v>0.0024</v>
      </c>
    </row>
    <row r="17" spans="1:27">
      <c r="A17" s="27">
        <v>46187</v>
      </c>
      <c r="B17" s="28" t="s">
        <v>34</v>
      </c>
      <c r="C17" s="20">
        <v>617</v>
      </c>
      <c r="D17" s="29">
        <v>0.54</v>
      </c>
      <c r="E17" s="30">
        <v>57323</v>
      </c>
      <c r="F17" s="30">
        <v>1152</v>
      </c>
      <c r="G17" s="30">
        <v>16442</v>
      </c>
      <c r="H17" s="14">
        <v>0.0374</v>
      </c>
      <c r="I17" s="14">
        <v>0.4094</v>
      </c>
      <c r="J17" s="31">
        <v>3238</v>
      </c>
      <c r="K17" s="32">
        <v>465.77</v>
      </c>
      <c r="L17" s="33">
        <v>54</v>
      </c>
      <c r="M17" s="34">
        <v>2302.3</v>
      </c>
      <c r="N17" s="35">
        <v>2302.3</v>
      </c>
      <c r="O17" s="36">
        <v>10</v>
      </c>
      <c r="P17" s="14">
        <v>0.0006</v>
      </c>
      <c r="Q17" s="36">
        <v>24</v>
      </c>
      <c r="R17" s="14">
        <v>0.0014</v>
      </c>
      <c r="S17" s="36">
        <v>387</v>
      </c>
      <c r="T17" s="37">
        <v>0.0236</v>
      </c>
      <c r="U17" s="30">
        <v>418</v>
      </c>
      <c r="V17" s="37">
        <v>0.0253</v>
      </c>
      <c r="W17" s="14">
        <v>0.0217</v>
      </c>
      <c r="X17" s="30">
        <v>3973</v>
      </c>
      <c r="Y17" s="14">
        <v>0.2416</v>
      </c>
      <c r="Z17" s="20">
        <v>58</v>
      </c>
      <c r="AA17" s="37">
        <v>0.0035</v>
      </c>
    </row>
    <row r="18" spans="1:27">
      <c r="A18" s="27">
        <v>46188</v>
      </c>
      <c r="B18" s="28" t="s">
        <v>28</v>
      </c>
      <c r="C18" s="20">
        <v>381</v>
      </c>
      <c r="D18" s="29">
        <v>0.49</v>
      </c>
      <c r="E18" s="38">
        <v>30066</v>
      </c>
      <c r="F18" s="30">
        <v>773</v>
      </c>
      <c r="G18" s="30">
        <v>11017</v>
      </c>
      <c r="H18" s="14">
        <v>0.0346</v>
      </c>
      <c r="I18" s="14">
        <v>0.4295</v>
      </c>
      <c r="J18" s="31">
        <v>2148</v>
      </c>
      <c r="K18" s="32">
        <v>351.76</v>
      </c>
      <c r="L18" s="33">
        <v>54</v>
      </c>
      <c r="M18" s="34">
        <v>1540.86</v>
      </c>
      <c r="N18" s="35">
        <v>1540.86</v>
      </c>
      <c r="O18" s="36">
        <v>20</v>
      </c>
      <c r="P18" s="37">
        <v>0.0018</v>
      </c>
      <c r="Q18" s="36">
        <v>30</v>
      </c>
      <c r="R18" s="14">
        <v>0.0027</v>
      </c>
      <c r="S18" s="36">
        <v>294</v>
      </c>
      <c r="T18" s="37">
        <v>0.0267</v>
      </c>
      <c r="U18" s="30">
        <v>104</v>
      </c>
      <c r="V18" s="14">
        <v>0.0094</v>
      </c>
      <c r="W18" s="14">
        <v>0.0078</v>
      </c>
      <c r="X18" s="30">
        <v>3023</v>
      </c>
      <c r="Y18" s="14">
        <v>0.2744</v>
      </c>
      <c r="Z18" s="20">
        <v>14</v>
      </c>
      <c r="AA18" s="14">
        <v>0.0013</v>
      </c>
    </row>
    <row r="19" spans="1:27">
      <c r="A19" s="27">
        <v>46189</v>
      </c>
      <c r="B19" s="28" t="s">
        <v>29</v>
      </c>
      <c r="C19" s="20">
        <v>549</v>
      </c>
      <c r="D19" s="29">
        <v>0.63</v>
      </c>
      <c r="E19" s="30">
        <v>36027</v>
      </c>
      <c r="F19" s="30">
        <v>871</v>
      </c>
      <c r="G19" s="30">
        <v>12916</v>
      </c>
      <c r="H19" s="14">
        <v>0.0425</v>
      </c>
      <c r="I19" s="14">
        <v>0.4214</v>
      </c>
      <c r="J19" s="31">
        <v>2639</v>
      </c>
      <c r="K19" s="32">
        <v>338.69</v>
      </c>
      <c r="L19" s="33">
        <v>54</v>
      </c>
      <c r="M19" s="34">
        <v>1806.6</v>
      </c>
      <c r="N19" s="35">
        <v>1806.6</v>
      </c>
      <c r="O19" s="36">
        <v>0</v>
      </c>
      <c r="P19" s="14">
        <v>0</v>
      </c>
      <c r="Q19" s="36">
        <v>32</v>
      </c>
      <c r="R19" s="14">
        <v>0.0025</v>
      </c>
      <c r="S19" s="36">
        <v>313</v>
      </c>
      <c r="T19" s="37">
        <v>0.0242</v>
      </c>
      <c r="U19" s="30">
        <v>113</v>
      </c>
      <c r="V19" s="14">
        <v>0.0088</v>
      </c>
      <c r="W19" s="14">
        <v>0.0069</v>
      </c>
      <c r="X19" s="30">
        <v>2949</v>
      </c>
      <c r="Y19" s="14">
        <v>0.2283</v>
      </c>
      <c r="Z19" s="20">
        <v>16</v>
      </c>
      <c r="AA19" s="14">
        <v>0.0012</v>
      </c>
    </row>
    <row r="20" spans="1:27">
      <c r="A20" s="27">
        <v>46190</v>
      </c>
      <c r="B20" s="28" t="s">
        <v>30</v>
      </c>
      <c r="C20" s="20">
        <v>698</v>
      </c>
      <c r="D20" s="29">
        <v>0.73</v>
      </c>
      <c r="E20" s="30">
        <v>55092</v>
      </c>
      <c r="F20" s="30">
        <v>959</v>
      </c>
      <c r="G20" s="30">
        <v>14723</v>
      </c>
      <c r="H20" s="14">
        <v>0.0474</v>
      </c>
      <c r="I20" s="14">
        <v>0.3431</v>
      </c>
      <c r="J20" s="31">
        <v>3110</v>
      </c>
      <c r="K20" s="32">
        <v>353</v>
      </c>
      <c r="L20" s="33">
        <v>37</v>
      </c>
      <c r="M20" s="34">
        <v>2067.65</v>
      </c>
      <c r="N20" s="35">
        <v>2067.65</v>
      </c>
      <c r="O20" s="36">
        <v>30</v>
      </c>
      <c r="P20" s="37">
        <v>0.002</v>
      </c>
      <c r="Q20" s="36">
        <v>17</v>
      </c>
      <c r="R20" s="14">
        <v>0.0012</v>
      </c>
      <c r="S20" s="36">
        <v>314</v>
      </c>
      <c r="T20" s="37">
        <v>0.0214</v>
      </c>
      <c r="U20" s="30">
        <v>181</v>
      </c>
      <c r="V20" s="14">
        <v>0.0123</v>
      </c>
      <c r="W20" s="14">
        <v>0.0115</v>
      </c>
      <c r="X20" s="30">
        <v>3072</v>
      </c>
      <c r="Y20" s="14">
        <v>0.2086</v>
      </c>
      <c r="Z20" s="20">
        <v>25</v>
      </c>
      <c r="AA20" s="14">
        <v>0.0017</v>
      </c>
    </row>
    <row r="21" spans="1:27">
      <c r="A21" s="27">
        <v>46191</v>
      </c>
      <c r="B21" s="28" t="s">
        <v>31</v>
      </c>
      <c r="C21" s="39">
        <v>-20</v>
      </c>
      <c r="D21" s="40">
        <v>-0.01</v>
      </c>
      <c r="E21" s="41">
        <v>145687</v>
      </c>
      <c r="F21" s="30">
        <v>1725</v>
      </c>
      <c r="G21" s="30">
        <v>27252</v>
      </c>
      <c r="H21" s="14">
        <v>-0.0007</v>
      </c>
      <c r="I21" s="14"/>
      <c r="J21" s="31">
        <v>2163</v>
      </c>
      <c r="K21" s="32">
        <v>2673.12</v>
      </c>
      <c r="L21" s="33">
        <v>37</v>
      </c>
      <c r="M21" s="34">
        <v>3820.56</v>
      </c>
      <c r="N21" s="35">
        <v>3820.56</v>
      </c>
      <c r="O21" s="36">
        <v>0</v>
      </c>
      <c r="P21" s="14">
        <v>0</v>
      </c>
      <c r="Q21" s="36">
        <v>48</v>
      </c>
      <c r="R21" s="14">
        <v>0.0018</v>
      </c>
      <c r="S21" s="36">
        <v>340</v>
      </c>
      <c r="T21" s="14">
        <v>0.0125</v>
      </c>
      <c r="U21" s="30">
        <v>87</v>
      </c>
      <c r="V21" s="14">
        <v>0.0032</v>
      </c>
      <c r="W21" s="14">
        <v>0.0035</v>
      </c>
      <c r="X21" s="30">
        <v>23424</v>
      </c>
      <c r="Y21" s="37">
        <v>0.8596</v>
      </c>
      <c r="Z21" s="20">
        <v>12</v>
      </c>
      <c r="AA21" s="14">
        <v>0.0004</v>
      </c>
    </row>
    <row r="22" spans="1:27">
      <c r="A22" s="27">
        <v>46192</v>
      </c>
      <c r="B22" s="28" t="s">
        <v>32</v>
      </c>
      <c r="C22" s="20">
        <v>148</v>
      </c>
      <c r="D22" s="29">
        <v>0.09</v>
      </c>
      <c r="E22" s="30">
        <v>125300</v>
      </c>
      <c r="F22" s="30">
        <v>1652</v>
      </c>
      <c r="G22" s="30">
        <v>27688</v>
      </c>
      <c r="H22" s="14">
        <v>0.0053</v>
      </c>
      <c r="I22" s="14"/>
      <c r="J22" s="31">
        <v>2584</v>
      </c>
      <c r="K22" s="32">
        <v>2493.21</v>
      </c>
      <c r="L22" s="33">
        <v>20</v>
      </c>
      <c r="M22" s="34">
        <v>3884.42</v>
      </c>
      <c r="N22" s="35">
        <v>3884.42</v>
      </c>
      <c r="O22" s="36">
        <v>10</v>
      </c>
      <c r="P22" s="14">
        <v>0.0004</v>
      </c>
      <c r="Q22" s="36">
        <v>68</v>
      </c>
      <c r="R22" s="14">
        <v>0.0025</v>
      </c>
      <c r="S22" s="36">
        <v>319</v>
      </c>
      <c r="T22" s="14">
        <v>0.0115</v>
      </c>
      <c r="U22" s="30">
        <v>0</v>
      </c>
      <c r="V22" s="14">
        <v>0</v>
      </c>
      <c r="W22" s="14" t="e">
        <v>#VALUE!</v>
      </c>
      <c r="X22" s="30">
        <v>22129</v>
      </c>
      <c r="Y22" s="37">
        <v>0.7992</v>
      </c>
      <c r="Z22" s="20">
        <v>0</v>
      </c>
      <c r="AA22" s="14">
        <v>0</v>
      </c>
    </row>
    <row r="23" spans="1:27">
      <c r="A23" s="27">
        <v>46193</v>
      </c>
      <c r="B23" s="28" t="s">
        <v>33</v>
      </c>
      <c r="C23" s="20">
        <v>418</v>
      </c>
      <c r="D23" s="29">
        <v>0.24</v>
      </c>
      <c r="E23" s="30">
        <v>70741</v>
      </c>
      <c r="F23" s="41">
        <v>1726</v>
      </c>
      <c r="G23" s="30">
        <v>25212</v>
      </c>
      <c r="H23" s="14">
        <v>0.0165</v>
      </c>
      <c r="I23" s="14"/>
      <c r="J23" s="31">
        <v>3203</v>
      </c>
      <c r="K23" s="32">
        <v>1795.58</v>
      </c>
      <c r="L23" s="33">
        <v>20</v>
      </c>
      <c r="M23" s="34">
        <v>3536.68</v>
      </c>
      <c r="N23" s="35">
        <v>3536.68</v>
      </c>
      <c r="O23" s="36">
        <v>20</v>
      </c>
      <c r="P23" s="14">
        <v>0.0008</v>
      </c>
      <c r="Q23" s="36">
        <v>115</v>
      </c>
      <c r="R23" s="37">
        <v>0.0045</v>
      </c>
      <c r="S23" s="36">
        <v>300</v>
      </c>
      <c r="T23" s="14">
        <v>0.0119</v>
      </c>
      <c r="U23" s="30">
        <v>0</v>
      </c>
      <c r="V23" s="14">
        <v>0</v>
      </c>
      <c r="W23" s="14" t="e">
        <v>#VALUE!</v>
      </c>
      <c r="X23" s="30">
        <v>16391</v>
      </c>
      <c r="Y23" s="37">
        <v>0.6501</v>
      </c>
      <c r="Z23" s="20">
        <v>0</v>
      </c>
      <c r="AA23" s="14">
        <v>0</v>
      </c>
    </row>
    <row r="24" spans="1:27">
      <c r="A24" s="27">
        <v>46194</v>
      </c>
      <c r="B24" s="28" t="s">
        <v>34</v>
      </c>
      <c r="C24" s="39">
        <v>-71</v>
      </c>
      <c r="D24" s="40">
        <v>-0.05</v>
      </c>
      <c r="E24" s="30">
        <v>83746</v>
      </c>
      <c r="F24" s="30">
        <v>1533</v>
      </c>
      <c r="G24" s="30">
        <v>25255</v>
      </c>
      <c r="H24" s="14">
        <v>-0.0028</v>
      </c>
      <c r="I24" s="14"/>
      <c r="J24" s="31">
        <v>2973</v>
      </c>
      <c r="K24" s="32">
        <v>1939.39</v>
      </c>
      <c r="L24" s="33">
        <v>0</v>
      </c>
      <c r="M24" s="34">
        <v>3542.12</v>
      </c>
      <c r="N24" s="35">
        <v>3542.12</v>
      </c>
      <c r="O24" s="36">
        <v>0</v>
      </c>
      <c r="P24" s="14">
        <v>0</v>
      </c>
      <c r="Q24" s="36">
        <v>566</v>
      </c>
      <c r="R24" s="37">
        <v>0.0224</v>
      </c>
      <c r="S24" s="36">
        <v>254</v>
      </c>
      <c r="T24" s="14">
        <v>0.0101</v>
      </c>
      <c r="U24" s="30">
        <v>0</v>
      </c>
      <c r="V24" s="14">
        <v>0</v>
      </c>
      <c r="W24" s="14" t="e">
        <v>#VALUE!</v>
      </c>
      <c r="X24" s="30">
        <v>17185</v>
      </c>
      <c r="Y24" s="37">
        <v>0.6804</v>
      </c>
      <c r="Z24" s="20">
        <v>0</v>
      </c>
      <c r="AA24" s="14">
        <v>0</v>
      </c>
    </row>
    <row r="25" spans="1:27">
      <c r="A25" s="27">
        <v>46195</v>
      </c>
      <c r="B25" s="28" t="s">
        <v>28</v>
      </c>
      <c r="C25" s="20">
        <v>517</v>
      </c>
      <c r="D25" s="29">
        <v>0.54</v>
      </c>
      <c r="E25" s="30">
        <v>42487</v>
      </c>
      <c r="F25" s="30">
        <v>967</v>
      </c>
      <c r="G25" s="30">
        <v>14544</v>
      </c>
      <c r="H25" s="14">
        <v>0.0356</v>
      </c>
      <c r="I25" s="14">
        <v>0.3785</v>
      </c>
      <c r="J25" s="31">
        <v>2809</v>
      </c>
      <c r="K25" s="32">
        <v>470.92</v>
      </c>
      <c r="L25" s="33">
        <v>0</v>
      </c>
      <c r="M25" s="34">
        <v>2035.19</v>
      </c>
      <c r="N25" s="35">
        <v>2035.19</v>
      </c>
      <c r="O25" s="36">
        <v>20</v>
      </c>
      <c r="P25" s="37">
        <v>0.0014</v>
      </c>
      <c r="Q25" s="36">
        <v>40</v>
      </c>
      <c r="R25" s="14">
        <v>0.0028</v>
      </c>
      <c r="S25" s="36">
        <v>298</v>
      </c>
      <c r="T25" s="14">
        <v>0.0205</v>
      </c>
      <c r="U25" s="30">
        <v>0</v>
      </c>
      <c r="V25" s="14">
        <v>0</v>
      </c>
      <c r="W25" s="14" t="e">
        <v>#VALUE!</v>
      </c>
      <c r="X25" s="30">
        <v>4006</v>
      </c>
      <c r="Y25" s="14">
        <v>0.2755</v>
      </c>
      <c r="Z25" s="20">
        <v>0</v>
      </c>
      <c r="AA25" s="14">
        <v>0</v>
      </c>
    </row>
    <row r="26" spans="1:27">
      <c r="A26" s="27">
        <v>46196</v>
      </c>
      <c r="B26" s="28" t="s">
        <v>29</v>
      </c>
      <c r="C26" s="20">
        <v>464</v>
      </c>
      <c r="D26" s="29">
        <v>0.54</v>
      </c>
      <c r="E26" s="30">
        <v>33159</v>
      </c>
      <c r="F26" s="30">
        <v>864</v>
      </c>
      <c r="G26" s="30">
        <v>12231</v>
      </c>
      <c r="H26" s="14">
        <v>0.0379</v>
      </c>
      <c r="I26" s="14">
        <v>0.3958</v>
      </c>
      <c r="J26" s="31">
        <v>2421</v>
      </c>
      <c r="K26" s="32">
        <v>363.93</v>
      </c>
      <c r="L26" s="33">
        <v>65</v>
      </c>
      <c r="M26" s="34">
        <v>1710.54</v>
      </c>
      <c r="N26" s="35">
        <v>1710.54</v>
      </c>
      <c r="O26" s="36">
        <v>10</v>
      </c>
      <c r="P26" s="14">
        <v>0.0008</v>
      </c>
      <c r="Q26" s="36">
        <v>72</v>
      </c>
      <c r="R26" s="37">
        <v>0.0059</v>
      </c>
      <c r="S26" s="36">
        <v>274</v>
      </c>
      <c r="T26" s="37">
        <v>0.0224</v>
      </c>
      <c r="U26" s="30">
        <v>223</v>
      </c>
      <c r="V26" s="37">
        <v>0.0182</v>
      </c>
      <c r="W26" s="14">
        <v>0.0197</v>
      </c>
      <c r="X26" s="30">
        <v>3105</v>
      </c>
      <c r="Y26" s="14">
        <v>0.2539</v>
      </c>
      <c r="Z26" s="20">
        <v>31</v>
      </c>
      <c r="AA26" s="37">
        <v>0.0025</v>
      </c>
    </row>
    <row r="27" spans="1:27">
      <c r="A27" s="27">
        <v>46197</v>
      </c>
      <c r="B27" s="28" t="s">
        <v>30</v>
      </c>
      <c r="C27" s="20">
        <v>442</v>
      </c>
      <c r="D27" s="29">
        <v>0.51</v>
      </c>
      <c r="E27" s="30">
        <v>33043</v>
      </c>
      <c r="F27" s="30">
        <v>862</v>
      </c>
      <c r="G27" s="30">
        <v>12064</v>
      </c>
      <c r="H27" s="14">
        <v>0.0366</v>
      </c>
      <c r="I27" s="14">
        <v>0.391</v>
      </c>
      <c r="J27" s="31">
        <v>2454</v>
      </c>
      <c r="K27" s="32">
        <v>318.59</v>
      </c>
      <c r="L27" s="33">
        <v>65</v>
      </c>
      <c r="M27" s="34">
        <v>1689.14</v>
      </c>
      <c r="N27" s="35">
        <v>1682.13</v>
      </c>
      <c r="O27" s="36">
        <v>0</v>
      </c>
      <c r="P27" s="14">
        <v>0</v>
      </c>
      <c r="Q27" s="36">
        <v>82</v>
      </c>
      <c r="R27" s="37">
        <v>0.0068</v>
      </c>
      <c r="S27" s="36">
        <v>310</v>
      </c>
      <c r="T27" s="37">
        <v>0.0257</v>
      </c>
      <c r="U27" s="30">
        <v>285</v>
      </c>
      <c r="V27" s="37">
        <v>0.0236</v>
      </c>
      <c r="W27" s="14">
        <v>0.0244</v>
      </c>
      <c r="X27" s="30">
        <v>2747</v>
      </c>
      <c r="Y27" s="14">
        <v>0.2277</v>
      </c>
      <c r="Z27" s="20">
        <v>40</v>
      </c>
      <c r="AA27" s="37">
        <v>0.0033</v>
      </c>
    </row>
    <row r="28" spans="1:27">
      <c r="A28" s="27">
        <v>46198</v>
      </c>
      <c r="B28" s="28" t="s">
        <v>31</v>
      </c>
      <c r="C28" s="20">
        <v>486</v>
      </c>
      <c r="D28" s="29">
        <v>0.58</v>
      </c>
      <c r="E28" s="30">
        <v>34964</v>
      </c>
      <c r="F28" s="30">
        <v>832</v>
      </c>
      <c r="G28" s="30">
        <v>12639</v>
      </c>
      <c r="H28" s="14">
        <v>0.0384</v>
      </c>
      <c r="I28" s="14">
        <v>0.4014</v>
      </c>
      <c r="J28" s="31">
        <v>2459</v>
      </c>
      <c r="K28" s="32">
        <v>381.96</v>
      </c>
      <c r="L28" s="33">
        <v>65</v>
      </c>
      <c r="M28" s="34">
        <v>1770.75</v>
      </c>
      <c r="N28" s="35">
        <v>1770.75</v>
      </c>
      <c r="O28" s="36">
        <v>10</v>
      </c>
      <c r="P28" s="14">
        <v>0.0008</v>
      </c>
      <c r="Q28" s="36">
        <v>30</v>
      </c>
      <c r="R28" s="14">
        <v>0.0024</v>
      </c>
      <c r="S28" s="36">
        <v>290</v>
      </c>
      <c r="T28" s="37">
        <v>0.023</v>
      </c>
      <c r="U28" s="30">
        <v>444</v>
      </c>
      <c r="V28" s="37">
        <v>0.0352</v>
      </c>
      <c r="W28" s="14">
        <v>0.0373</v>
      </c>
      <c r="X28" s="30">
        <v>3171</v>
      </c>
      <c r="Y28" s="14">
        <v>0.2509</v>
      </c>
      <c r="Z28" s="20">
        <v>62</v>
      </c>
      <c r="AA28" s="37">
        <v>0.0049</v>
      </c>
    </row>
    <row r="29" spans="1:27">
      <c r="A29" s="27">
        <v>46199</v>
      </c>
      <c r="B29" s="28" t="s">
        <v>32</v>
      </c>
      <c r="C29" s="20">
        <v>426</v>
      </c>
      <c r="D29" s="29">
        <v>0.47</v>
      </c>
      <c r="E29" s="30">
        <v>46752</v>
      </c>
      <c r="F29" s="30">
        <v>916</v>
      </c>
      <c r="G29" s="30">
        <v>13497</v>
      </c>
      <c r="H29" s="14">
        <v>0.0316</v>
      </c>
      <c r="I29" s="14">
        <v>0.452</v>
      </c>
      <c r="J29" s="31">
        <v>2392</v>
      </c>
      <c r="K29" s="32">
        <v>523.37</v>
      </c>
      <c r="L29" s="33">
        <v>82</v>
      </c>
      <c r="M29" s="34">
        <v>1889.12</v>
      </c>
      <c r="N29" s="35">
        <v>1889.12</v>
      </c>
      <c r="O29" s="36">
        <v>0</v>
      </c>
      <c r="P29" s="14">
        <v>0</v>
      </c>
      <c r="Q29" s="36">
        <v>32</v>
      </c>
      <c r="R29" s="14">
        <v>0.0024</v>
      </c>
      <c r="S29" s="36">
        <v>304</v>
      </c>
      <c r="T29" s="37">
        <v>0.0225</v>
      </c>
      <c r="U29" s="30">
        <v>539</v>
      </c>
      <c r="V29" s="37">
        <v>0.0399</v>
      </c>
      <c r="W29" s="14">
        <v>0.0371</v>
      </c>
      <c r="X29" s="30">
        <v>4375</v>
      </c>
      <c r="Y29" s="14">
        <v>0.3241</v>
      </c>
      <c r="Z29" s="20">
        <v>75</v>
      </c>
      <c r="AA29" s="37">
        <v>0.0056</v>
      </c>
    </row>
    <row r="30" spans="1:27">
      <c r="A30" s="27">
        <v>46200</v>
      </c>
      <c r="B30" s="28" t="s">
        <v>33</v>
      </c>
      <c r="C30" s="20">
        <v>521</v>
      </c>
      <c r="D30" s="29">
        <v>0.46</v>
      </c>
      <c r="E30" s="30">
        <v>44561</v>
      </c>
      <c r="F30" s="30">
        <v>1133</v>
      </c>
      <c r="G30" s="30">
        <v>15714</v>
      </c>
      <c r="H30" s="14">
        <v>0.0332</v>
      </c>
      <c r="I30" s="14">
        <v>0.4157</v>
      </c>
      <c r="J30" s="31">
        <v>2960</v>
      </c>
      <c r="K30" s="32">
        <v>486.67</v>
      </c>
      <c r="L30" s="33">
        <v>82</v>
      </c>
      <c r="M30" s="34">
        <v>2200.96</v>
      </c>
      <c r="N30" s="35">
        <v>2200.96</v>
      </c>
      <c r="O30" s="36">
        <v>20</v>
      </c>
      <c r="P30" s="14">
        <v>0.0013</v>
      </c>
      <c r="Q30" s="36">
        <v>49</v>
      </c>
      <c r="R30" s="14">
        <v>0.0031</v>
      </c>
      <c r="S30" s="36">
        <v>322</v>
      </c>
      <c r="T30" s="14">
        <v>0.0205</v>
      </c>
      <c r="U30" s="30">
        <v>781</v>
      </c>
      <c r="V30" s="37">
        <v>0.0497</v>
      </c>
      <c r="W30" s="14">
        <v>0.045</v>
      </c>
      <c r="X30" s="30">
        <v>3992</v>
      </c>
      <c r="Y30" s="14">
        <v>0.254</v>
      </c>
      <c r="Z30" s="20">
        <v>109</v>
      </c>
      <c r="AA30" s="37">
        <v>0.007</v>
      </c>
    </row>
    <row r="31" spans="1:27">
      <c r="A31" s="27">
        <v>46201</v>
      </c>
      <c r="B31" s="28" t="s">
        <v>34</v>
      </c>
      <c r="C31" s="20">
        <v>447</v>
      </c>
      <c r="D31" s="29">
        <v>0.45</v>
      </c>
      <c r="E31" s="30">
        <v>55890</v>
      </c>
      <c r="F31" s="30">
        <v>998</v>
      </c>
      <c r="G31" s="30">
        <v>14452</v>
      </c>
      <c r="H31" s="14">
        <v>0.0309</v>
      </c>
      <c r="I31" s="14">
        <v>0.4118</v>
      </c>
      <c r="J31" s="31">
        <v>2722</v>
      </c>
      <c r="K31" s="32">
        <v>470.09</v>
      </c>
      <c r="L31" s="33">
        <v>82</v>
      </c>
      <c r="M31" s="34">
        <v>2020.79</v>
      </c>
      <c r="N31" s="35">
        <v>2020.79</v>
      </c>
      <c r="O31" s="36">
        <v>110</v>
      </c>
      <c r="P31" s="37">
        <v>0.0076</v>
      </c>
      <c r="Q31" s="36">
        <v>29</v>
      </c>
      <c r="R31" s="14">
        <v>0.002</v>
      </c>
      <c r="S31" s="36">
        <v>294</v>
      </c>
      <c r="T31" s="14">
        <v>0.0203</v>
      </c>
      <c r="U31" s="30">
        <v>478</v>
      </c>
      <c r="V31" s="37">
        <v>0.0331</v>
      </c>
      <c r="W31" s="14">
        <v>0.024</v>
      </c>
      <c r="X31" s="30">
        <v>3865</v>
      </c>
      <c r="Y31" s="14">
        <v>0.2675</v>
      </c>
      <c r="Z31" s="20">
        <v>67</v>
      </c>
      <c r="AA31" s="37">
        <v>0.0046</v>
      </c>
    </row>
    <row r="32" spans="1:27">
      <c r="A32" s="27">
        <v>46202</v>
      </c>
      <c r="B32" s="28" t="s">
        <v>28</v>
      </c>
      <c r="C32" s="20">
        <v>384</v>
      </c>
      <c r="D32" s="29">
        <v>0.48</v>
      </c>
      <c r="E32" s="30">
        <v>32912</v>
      </c>
      <c r="F32" s="30">
        <v>799</v>
      </c>
      <c r="G32" s="30">
        <v>11327</v>
      </c>
      <c r="H32" s="14">
        <v>0.0339</v>
      </c>
      <c r="I32" s="14">
        <v>0.3542</v>
      </c>
      <c r="J32" s="31">
        <v>2267</v>
      </c>
      <c r="K32" s="32">
        <v>333.09</v>
      </c>
      <c r="L32" s="33">
        <v>82</v>
      </c>
      <c r="M32" s="34">
        <v>1585.87</v>
      </c>
      <c r="N32" s="35">
        <v>1585.87</v>
      </c>
      <c r="O32" s="36">
        <v>30</v>
      </c>
      <c r="P32" s="37">
        <v>0.0026</v>
      </c>
      <c r="Q32" s="36">
        <v>18</v>
      </c>
      <c r="R32" s="14">
        <v>0.0016</v>
      </c>
      <c r="S32" s="36">
        <v>368</v>
      </c>
      <c r="T32" s="37">
        <v>0.0325</v>
      </c>
      <c r="U32" s="30">
        <v>151</v>
      </c>
      <c r="V32" s="14">
        <v>0.0133</v>
      </c>
      <c r="W32" s="14">
        <v>0.0088</v>
      </c>
      <c r="X32" s="30">
        <v>2818</v>
      </c>
      <c r="Y32" s="14">
        <v>0.2488</v>
      </c>
      <c r="Z32" s="20">
        <v>21</v>
      </c>
      <c r="AA32" s="14">
        <v>0.0019</v>
      </c>
    </row>
    <row r="33" spans="1:27">
      <c r="A33" s="27">
        <v>46203</v>
      </c>
      <c r="B33" s="28" t="s">
        <v>29</v>
      </c>
      <c r="C33" s="20">
        <v>300</v>
      </c>
      <c r="D33" s="29">
        <v>0.35</v>
      </c>
      <c r="E33" s="30">
        <v>43674</v>
      </c>
      <c r="F33" s="30">
        <v>856</v>
      </c>
      <c r="G33" s="30">
        <v>11890</v>
      </c>
      <c r="H33" s="14">
        <v>0.0253</v>
      </c>
      <c r="I33" s="14">
        <v>0.3808</v>
      </c>
      <c r="J33" s="31">
        <v>2436</v>
      </c>
      <c r="K33" s="32">
        <v>328.46</v>
      </c>
      <c r="L33" s="33">
        <v>34</v>
      </c>
      <c r="M33" s="34">
        <v>1666.82</v>
      </c>
      <c r="N33" s="35">
        <v>1666.82</v>
      </c>
      <c r="O33" s="36">
        <v>100</v>
      </c>
      <c r="P33" s="37">
        <v>0.0084</v>
      </c>
      <c r="Q33" s="36">
        <v>10</v>
      </c>
      <c r="R33" s="14">
        <v>0.0008</v>
      </c>
      <c r="S33" s="36">
        <v>409</v>
      </c>
      <c r="T33" s="37">
        <v>0.0344</v>
      </c>
      <c r="U33" s="30">
        <v>130</v>
      </c>
      <c r="V33" s="14">
        <v>0.0109</v>
      </c>
      <c r="W33" s="14">
        <v>0.0105</v>
      </c>
      <c r="X33" s="30">
        <v>2858</v>
      </c>
      <c r="Y33" s="14">
        <v>0.2404</v>
      </c>
      <c r="Z33" s="20">
        <v>18</v>
      </c>
      <c r="AA33" s="14">
        <v>0.0015</v>
      </c>
    </row>
  </sheetData>
  <sheetProtection formatCells="0" formatColumns="0" formatRows="0" insertRows="0" insertColumns="0" insertHyperlinks="0" deleteColumns="0" deleteRows="0" sort="0" autoFilter="0" pivotTables="0"/>
  <mergeCells count="11">
    <mergeCell ref="A3:B3"/>
    <mergeCell ref="D2:D3"/>
    <mergeCell ref="H2:H3"/>
    <mergeCell ref="I2:I3"/>
    <mergeCell ref="P2:P3"/>
    <mergeCell ref="R2:R3"/>
    <mergeCell ref="T2:T3"/>
    <mergeCell ref="V2:V3"/>
    <mergeCell ref="W2:W3"/>
    <mergeCell ref="Y2:Y3"/>
    <mergeCell ref="AA2:AA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11.3307692307692" defaultRowHeight="14.5"/>
  <cols>
    <col min="1" max="1" width="16.8923076923077" style="1" customWidth="1"/>
    <col min="2" max="16384" width="11.3307692307692" style="1"/>
  </cols>
  <sheetData>
    <row r="1" spans="1:27">
      <c r="A1" s="2" t="s">
        <v>38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10" t="s">
        <v>13</v>
      </c>
      <c r="O1" s="8" t="s">
        <v>14</v>
      </c>
      <c r="P1" s="11" t="s">
        <v>15</v>
      </c>
      <c r="Q1" s="8" t="s">
        <v>16</v>
      </c>
      <c r="R1" s="11" t="s">
        <v>17</v>
      </c>
      <c r="S1" s="8" t="s">
        <v>18</v>
      </c>
      <c r="T1" s="11" t="s">
        <v>19</v>
      </c>
      <c r="U1" s="5" t="s">
        <v>20</v>
      </c>
      <c r="V1" s="10" t="s">
        <v>21</v>
      </c>
      <c r="W1" s="6" t="s">
        <v>22</v>
      </c>
      <c r="X1" s="10" t="s">
        <v>23</v>
      </c>
      <c r="Y1" s="10" t="s">
        <v>24</v>
      </c>
      <c r="Z1" s="5" t="s">
        <v>25</v>
      </c>
      <c r="AA1" s="11" t="s">
        <v>26</v>
      </c>
    </row>
    <row r="2" ht="19.5" customHeight="1" spans="1:27">
      <c r="A2" s="12">
        <v>11164</v>
      </c>
      <c r="B2" s="13">
        <v>15500</v>
      </c>
      <c r="C2" s="14">
        <v>0.7203</v>
      </c>
      <c r="D2" s="15">
        <v>0.51</v>
      </c>
      <c r="E2" s="16">
        <f t="shared" ref="E2:G2" si="0">SUM(E4:E33)</f>
        <v>270063</v>
      </c>
      <c r="F2" s="16">
        <f t="shared" si="0"/>
        <v>21019</v>
      </c>
      <c r="G2" s="16">
        <f t="shared" si="0"/>
        <v>345463</v>
      </c>
      <c r="H2" s="17">
        <f>AVERAGE(H4:H33)</f>
        <v>0.0377833333333333</v>
      </c>
      <c r="I2" s="17">
        <f>AVERAGE(I4:I33)</f>
        <v>0.135534615384615</v>
      </c>
      <c r="J2" s="18">
        <f t="shared" ref="J2:O2" si="1">SUM(J4:J33)</f>
        <v>66866</v>
      </c>
      <c r="K2" s="18">
        <f t="shared" si="1"/>
        <v>11893.81</v>
      </c>
      <c r="L2" s="18">
        <f t="shared" si="1"/>
        <v>0</v>
      </c>
      <c r="M2" s="19">
        <f t="shared" si="1"/>
        <v>48406.16</v>
      </c>
      <c r="N2" s="19">
        <f t="shared" si="1"/>
        <v>48218.64</v>
      </c>
      <c r="O2" s="19">
        <f t="shared" si="1"/>
        <v>140</v>
      </c>
      <c r="P2" s="17">
        <f t="shared" ref="P2:T2" si="2">AVERAGE(P4:P33)</f>
        <v>0.000403333333333333</v>
      </c>
      <c r="Q2" s="20">
        <f t="shared" ref="Q2:U2" si="3">SUM(Q4:Q33)</f>
        <v>791</v>
      </c>
      <c r="R2" s="17">
        <f t="shared" si="2"/>
        <v>0.00165333333333333</v>
      </c>
      <c r="S2" s="20">
        <f t="shared" si="3"/>
        <v>8697</v>
      </c>
      <c r="T2" s="17">
        <f t="shared" si="2"/>
        <v>0.0274966666666667</v>
      </c>
      <c r="U2" s="16">
        <f t="shared" si="3"/>
        <v>0</v>
      </c>
      <c r="V2" s="17">
        <f t="shared" ref="V2:Y2" si="4">AVERAGE(V4:V33)</f>
        <v>0</v>
      </c>
      <c r="W2" s="21" t="e">
        <f t="shared" si="4"/>
        <v>#VALUE!</v>
      </c>
      <c r="X2" s="16">
        <f>SUM(X4:X33)</f>
        <v>105183</v>
      </c>
      <c r="Y2" s="17">
        <f t="shared" si="4"/>
        <v>0.23518</v>
      </c>
      <c r="Z2" s="20">
        <f>SUM(Z4:Z33)</f>
        <v>0</v>
      </c>
      <c r="AA2" s="17">
        <f>AVERAGE(AA4:AA33)</f>
        <v>0</v>
      </c>
    </row>
    <row r="3" ht="19.5" customHeight="1" spans="1:27">
      <c r="A3" s="22" t="s">
        <v>27</v>
      </c>
      <c r="B3" s="22"/>
      <c r="C3" s="23">
        <v>369</v>
      </c>
      <c r="D3" s="15"/>
      <c r="E3" s="24">
        <f t="shared" ref="E3:G3" si="5">AVERAGE(E4:E33)</f>
        <v>9002.1</v>
      </c>
      <c r="F3" s="24">
        <f t="shared" si="5"/>
        <v>700.633333333333</v>
      </c>
      <c r="G3" s="24">
        <f t="shared" si="5"/>
        <v>11515.4333333333</v>
      </c>
      <c r="H3" s="17"/>
      <c r="I3" s="17"/>
      <c r="J3" s="25">
        <f t="shared" ref="J3:O3" si="6">AVERAGE(J4:J33)</f>
        <v>2228.86666666667</v>
      </c>
      <c r="K3" s="25">
        <f t="shared" si="6"/>
        <v>396.460333333333</v>
      </c>
      <c r="L3" s="25">
        <f t="shared" si="6"/>
        <v>0</v>
      </c>
      <c r="M3" s="26">
        <f t="shared" si="6"/>
        <v>1613.53866666667</v>
      </c>
      <c r="N3" s="26">
        <f t="shared" si="6"/>
        <v>1607.288</v>
      </c>
      <c r="O3" s="23">
        <f t="shared" si="6"/>
        <v>4.66666666666667</v>
      </c>
      <c r="P3" s="17"/>
      <c r="Q3" s="23">
        <f t="shared" ref="Q3:U3" si="7">AVERAGE(Q4:Q33)</f>
        <v>26.3666666666667</v>
      </c>
      <c r="R3" s="17"/>
      <c r="S3" s="23">
        <f t="shared" si="7"/>
        <v>289.9</v>
      </c>
      <c r="T3" s="17"/>
      <c r="U3" s="24">
        <f t="shared" si="7"/>
        <v>0</v>
      </c>
      <c r="V3" s="17"/>
      <c r="W3" s="21"/>
      <c r="X3" s="24">
        <f>AVERAGE(X4:X33)</f>
        <v>3506.1</v>
      </c>
      <c r="Y3" s="17"/>
      <c r="Z3" s="23">
        <f>AVERAGE(Z4:Z33)</f>
        <v>0</v>
      </c>
      <c r="AA3" s="17"/>
    </row>
    <row r="4" spans="1:27">
      <c r="A4" s="27">
        <v>46174</v>
      </c>
      <c r="B4" s="28" t="s">
        <v>28</v>
      </c>
      <c r="C4" s="20">
        <v>394</v>
      </c>
      <c r="D4" s="29">
        <v>0.74</v>
      </c>
      <c r="E4" s="30">
        <v>6208</v>
      </c>
      <c r="F4" s="30">
        <v>531</v>
      </c>
      <c r="G4" s="30">
        <v>8804</v>
      </c>
      <c r="H4" s="14">
        <v>0.0447</v>
      </c>
      <c r="I4" s="14">
        <v>0.1337</v>
      </c>
      <c r="J4" s="31">
        <v>2003</v>
      </c>
      <c r="K4" s="32">
        <v>135.82</v>
      </c>
      <c r="L4" s="33">
        <v>0</v>
      </c>
      <c r="M4" s="34">
        <v>1232.53</v>
      </c>
      <c r="N4" s="35">
        <v>1232.53</v>
      </c>
      <c r="O4" s="36">
        <v>0</v>
      </c>
      <c r="P4" s="14">
        <v>0</v>
      </c>
      <c r="Q4" s="36">
        <v>0</v>
      </c>
      <c r="R4" s="14">
        <v>0</v>
      </c>
      <c r="S4" s="36">
        <v>277</v>
      </c>
      <c r="T4" s="37">
        <v>0.0315</v>
      </c>
      <c r="U4" s="30">
        <v>0</v>
      </c>
      <c r="V4" s="14">
        <v>0</v>
      </c>
      <c r="W4" s="14" t="e">
        <v>#VALUE!</v>
      </c>
      <c r="X4" s="30">
        <v>1214</v>
      </c>
      <c r="Y4" s="14">
        <v>0.1379</v>
      </c>
      <c r="Z4" s="20">
        <v>0</v>
      </c>
      <c r="AA4" s="14">
        <v>0</v>
      </c>
    </row>
    <row r="5" spans="1:27">
      <c r="A5" s="27">
        <v>46175</v>
      </c>
      <c r="B5" s="28" t="s">
        <v>29</v>
      </c>
      <c r="C5" s="20">
        <v>431</v>
      </c>
      <c r="D5" s="29">
        <v>0.84</v>
      </c>
      <c r="E5" s="38">
        <v>5096</v>
      </c>
      <c r="F5" s="30">
        <v>515</v>
      </c>
      <c r="G5" s="30">
        <v>8352</v>
      </c>
      <c r="H5" s="14">
        <v>0.0516</v>
      </c>
      <c r="I5" s="14">
        <v>0.1282</v>
      </c>
      <c r="J5" s="31">
        <v>1874</v>
      </c>
      <c r="K5" s="32">
        <v>143.63</v>
      </c>
      <c r="L5" s="33">
        <v>0</v>
      </c>
      <c r="M5" s="34">
        <v>1169.46</v>
      </c>
      <c r="N5" s="35">
        <v>1169.46</v>
      </c>
      <c r="O5" s="36">
        <v>0</v>
      </c>
      <c r="P5" s="14">
        <v>0</v>
      </c>
      <c r="Q5" s="36">
        <v>0</v>
      </c>
      <c r="R5" s="14">
        <v>0</v>
      </c>
      <c r="S5" s="36">
        <v>191</v>
      </c>
      <c r="T5" s="14">
        <v>0.0229</v>
      </c>
      <c r="U5" s="30">
        <v>0</v>
      </c>
      <c r="V5" s="14">
        <v>0</v>
      </c>
      <c r="W5" s="14" t="e">
        <v>#VALUE!</v>
      </c>
      <c r="X5" s="30">
        <v>1275</v>
      </c>
      <c r="Y5" s="14">
        <v>0.1527</v>
      </c>
      <c r="Z5" s="20">
        <v>0</v>
      </c>
      <c r="AA5" s="14">
        <v>0</v>
      </c>
    </row>
    <row r="6" spans="1:27">
      <c r="A6" s="27">
        <v>46176</v>
      </c>
      <c r="B6" s="28" t="s">
        <v>30</v>
      </c>
      <c r="C6" s="20">
        <v>439</v>
      </c>
      <c r="D6" s="29">
        <v>0.8</v>
      </c>
      <c r="E6" s="30">
        <v>6190</v>
      </c>
      <c r="F6" s="30">
        <v>549</v>
      </c>
      <c r="G6" s="30">
        <v>8439</v>
      </c>
      <c r="H6" s="14">
        <v>0.052</v>
      </c>
      <c r="I6" s="14">
        <v>0.1348</v>
      </c>
      <c r="J6" s="31">
        <v>1857</v>
      </c>
      <c r="K6" s="32">
        <v>161.69</v>
      </c>
      <c r="L6" s="33">
        <v>0</v>
      </c>
      <c r="M6" s="34">
        <v>1181.47</v>
      </c>
      <c r="N6" s="35">
        <v>1181.47</v>
      </c>
      <c r="O6" s="36">
        <v>0</v>
      </c>
      <c r="P6" s="14">
        <v>0</v>
      </c>
      <c r="Q6" s="36">
        <v>0</v>
      </c>
      <c r="R6" s="14">
        <v>0</v>
      </c>
      <c r="S6" s="36">
        <v>168</v>
      </c>
      <c r="T6" s="14">
        <v>0.0199</v>
      </c>
      <c r="U6" s="30">
        <v>0</v>
      </c>
      <c r="V6" s="14">
        <v>0</v>
      </c>
      <c r="W6" s="14" t="e">
        <v>#VALUE!</v>
      </c>
      <c r="X6" s="30">
        <v>1461</v>
      </c>
      <c r="Y6" s="14">
        <v>0.1732</v>
      </c>
      <c r="Z6" s="20">
        <v>0</v>
      </c>
      <c r="AA6" s="14">
        <v>0</v>
      </c>
    </row>
    <row r="7" spans="1:27">
      <c r="A7" s="27">
        <v>46177</v>
      </c>
      <c r="B7" s="28" t="s">
        <v>31</v>
      </c>
      <c r="C7" s="20">
        <v>645</v>
      </c>
      <c r="D7" s="29">
        <v>0.89</v>
      </c>
      <c r="E7" s="30">
        <v>7513</v>
      </c>
      <c r="F7" s="30">
        <v>722</v>
      </c>
      <c r="G7" s="30">
        <v>12064</v>
      </c>
      <c r="H7" s="14">
        <v>0.0534</v>
      </c>
      <c r="I7" s="14">
        <v>0.1648</v>
      </c>
      <c r="J7" s="31">
        <v>2660</v>
      </c>
      <c r="K7" s="32">
        <v>248.52</v>
      </c>
      <c r="L7" s="33">
        <v>0</v>
      </c>
      <c r="M7" s="34">
        <v>1695.32</v>
      </c>
      <c r="N7" s="35">
        <v>1695.32</v>
      </c>
      <c r="O7" s="36">
        <v>0</v>
      </c>
      <c r="P7" s="14">
        <v>0</v>
      </c>
      <c r="Q7" s="36">
        <v>0</v>
      </c>
      <c r="R7" s="14">
        <v>0</v>
      </c>
      <c r="S7" s="36">
        <v>247</v>
      </c>
      <c r="T7" s="14">
        <v>0.0205</v>
      </c>
      <c r="U7" s="30">
        <v>0</v>
      </c>
      <c r="V7" s="14">
        <v>0</v>
      </c>
      <c r="W7" s="14" t="e">
        <v>#VALUE!</v>
      </c>
      <c r="X7" s="30">
        <v>2141</v>
      </c>
      <c r="Y7" s="14">
        <v>0.1775</v>
      </c>
      <c r="Z7" s="20">
        <v>0</v>
      </c>
      <c r="AA7" s="14">
        <v>0</v>
      </c>
    </row>
    <row r="8" spans="1:27">
      <c r="A8" s="27">
        <v>46178</v>
      </c>
      <c r="B8" s="28" t="s">
        <v>32</v>
      </c>
      <c r="C8" s="20">
        <v>287</v>
      </c>
      <c r="D8" s="29">
        <v>0.36</v>
      </c>
      <c r="E8" s="30">
        <v>8063</v>
      </c>
      <c r="F8" s="30">
        <v>794</v>
      </c>
      <c r="G8" s="30">
        <v>13306</v>
      </c>
      <c r="H8" s="14">
        <v>0.0216</v>
      </c>
      <c r="I8" s="14">
        <v>0.1209</v>
      </c>
      <c r="J8" s="31">
        <v>2097</v>
      </c>
      <c r="K8" s="32">
        <v>732.81</v>
      </c>
      <c r="L8" s="33">
        <v>0</v>
      </c>
      <c r="M8" s="34">
        <v>1865.04</v>
      </c>
      <c r="N8" s="35">
        <v>1865.04</v>
      </c>
      <c r="O8" s="36">
        <v>10</v>
      </c>
      <c r="P8" s="37">
        <v>0.0008</v>
      </c>
      <c r="Q8" s="36">
        <v>10</v>
      </c>
      <c r="R8" s="37">
        <v>0.0008</v>
      </c>
      <c r="S8" s="36">
        <v>304</v>
      </c>
      <c r="T8" s="14">
        <v>0.0228</v>
      </c>
      <c r="U8" s="30">
        <v>0</v>
      </c>
      <c r="V8" s="14">
        <v>0</v>
      </c>
      <c r="W8" s="14" t="e">
        <v>#VALUE!</v>
      </c>
      <c r="X8" s="30">
        <v>6514</v>
      </c>
      <c r="Y8" s="37">
        <v>0.4895</v>
      </c>
      <c r="Z8" s="20">
        <v>0</v>
      </c>
      <c r="AA8" s="14">
        <v>0</v>
      </c>
    </row>
    <row r="9" spans="1:27">
      <c r="A9" s="27">
        <v>46179</v>
      </c>
      <c r="B9" s="28" t="s">
        <v>33</v>
      </c>
      <c r="C9" s="20">
        <v>547</v>
      </c>
      <c r="D9" s="29">
        <v>0.78</v>
      </c>
      <c r="E9" s="30">
        <v>7401</v>
      </c>
      <c r="F9" s="30">
        <v>699</v>
      </c>
      <c r="G9" s="30">
        <v>11116</v>
      </c>
      <c r="H9" s="14">
        <v>0.0492</v>
      </c>
      <c r="I9" s="14">
        <v>0.1502</v>
      </c>
      <c r="J9" s="31">
        <v>2493</v>
      </c>
      <c r="K9" s="32">
        <v>193.87</v>
      </c>
      <c r="L9" s="33">
        <v>0</v>
      </c>
      <c r="M9" s="34">
        <v>1556.21</v>
      </c>
      <c r="N9" s="35">
        <v>1556.21</v>
      </c>
      <c r="O9" s="36">
        <v>0</v>
      </c>
      <c r="P9" s="14">
        <v>0</v>
      </c>
      <c r="Q9" s="36">
        <v>0</v>
      </c>
      <c r="R9" s="14">
        <v>0</v>
      </c>
      <c r="S9" s="36">
        <v>283</v>
      </c>
      <c r="T9" s="14">
        <v>0.0255</v>
      </c>
      <c r="U9" s="30">
        <v>0</v>
      </c>
      <c r="V9" s="14">
        <v>0</v>
      </c>
      <c r="W9" s="14" t="e">
        <v>#VALUE!</v>
      </c>
      <c r="X9" s="30">
        <v>1709</v>
      </c>
      <c r="Y9" s="14">
        <v>0.1537</v>
      </c>
      <c r="Z9" s="20">
        <v>0</v>
      </c>
      <c r="AA9" s="14">
        <v>0</v>
      </c>
    </row>
    <row r="10" spans="1:27">
      <c r="A10" s="27">
        <v>46180</v>
      </c>
      <c r="B10" s="28" t="s">
        <v>34</v>
      </c>
      <c r="C10" s="20">
        <v>484</v>
      </c>
      <c r="D10" s="29">
        <v>0.7</v>
      </c>
      <c r="E10" s="30">
        <v>8474</v>
      </c>
      <c r="F10" s="30">
        <v>691</v>
      </c>
      <c r="G10" s="30">
        <v>10974</v>
      </c>
      <c r="H10" s="14">
        <v>0.0441</v>
      </c>
      <c r="I10" s="14">
        <v>0.123</v>
      </c>
      <c r="J10" s="31">
        <v>2393</v>
      </c>
      <c r="K10" s="32">
        <v>226.4</v>
      </c>
      <c r="L10" s="33">
        <v>0</v>
      </c>
      <c r="M10" s="34">
        <v>1536.92</v>
      </c>
      <c r="N10" s="35">
        <v>1536.92</v>
      </c>
      <c r="O10" s="36">
        <v>0</v>
      </c>
      <c r="P10" s="14">
        <v>0</v>
      </c>
      <c r="Q10" s="36">
        <v>0</v>
      </c>
      <c r="R10" s="14">
        <v>0</v>
      </c>
      <c r="S10" s="36">
        <v>300</v>
      </c>
      <c r="T10" s="37">
        <v>0.0274</v>
      </c>
      <c r="U10" s="30">
        <v>0</v>
      </c>
      <c r="V10" s="14">
        <v>0</v>
      </c>
      <c r="W10" s="14" t="e">
        <v>#VALUE!</v>
      </c>
      <c r="X10" s="30">
        <v>2105</v>
      </c>
      <c r="Y10" s="14">
        <v>0.1919</v>
      </c>
      <c r="Z10" s="20">
        <v>0</v>
      </c>
      <c r="AA10" s="14">
        <v>0</v>
      </c>
    </row>
    <row r="11" spans="1:27">
      <c r="A11" s="27">
        <v>46181</v>
      </c>
      <c r="B11" s="28" t="s">
        <v>28</v>
      </c>
      <c r="C11" s="20">
        <v>538</v>
      </c>
      <c r="D11" s="29">
        <v>0.66</v>
      </c>
      <c r="E11" s="30">
        <v>9857</v>
      </c>
      <c r="F11" s="30">
        <v>816</v>
      </c>
      <c r="G11" s="30">
        <v>12251</v>
      </c>
      <c r="H11" s="14">
        <v>0.0439</v>
      </c>
      <c r="I11" s="14">
        <v>0.1495</v>
      </c>
      <c r="J11" s="31">
        <v>2629</v>
      </c>
      <c r="K11" s="32">
        <v>273.76</v>
      </c>
      <c r="L11" s="33">
        <v>0</v>
      </c>
      <c r="M11" s="34">
        <v>1715.67</v>
      </c>
      <c r="N11" s="35">
        <v>1715.67</v>
      </c>
      <c r="O11" s="36">
        <v>0</v>
      </c>
      <c r="P11" s="14">
        <v>0</v>
      </c>
      <c r="Q11" s="36">
        <v>5</v>
      </c>
      <c r="R11" s="37">
        <v>0.0004</v>
      </c>
      <c r="S11" s="36">
        <v>303</v>
      </c>
      <c r="T11" s="14">
        <v>0.0248</v>
      </c>
      <c r="U11" s="30">
        <v>0</v>
      </c>
      <c r="V11" s="14">
        <v>0</v>
      </c>
      <c r="W11" s="14" t="e">
        <v>#VALUE!</v>
      </c>
      <c r="X11" s="30">
        <v>2577</v>
      </c>
      <c r="Y11" s="14">
        <v>0.2103</v>
      </c>
      <c r="Z11" s="20">
        <v>0</v>
      </c>
      <c r="AA11" s="14">
        <v>0</v>
      </c>
    </row>
    <row r="12" spans="1:27">
      <c r="A12" s="27">
        <v>46182</v>
      </c>
      <c r="B12" s="28" t="s">
        <v>29</v>
      </c>
      <c r="C12" s="20">
        <v>415</v>
      </c>
      <c r="D12" s="29">
        <v>0.64</v>
      </c>
      <c r="E12" s="30">
        <v>6032</v>
      </c>
      <c r="F12" s="30">
        <v>646</v>
      </c>
      <c r="G12" s="30">
        <v>9933</v>
      </c>
      <c r="H12" s="14">
        <v>0.0418</v>
      </c>
      <c r="I12" s="14">
        <v>0.1486</v>
      </c>
      <c r="J12" s="31">
        <v>2190</v>
      </c>
      <c r="K12" s="32">
        <v>191.33</v>
      </c>
      <c r="L12" s="33">
        <v>0</v>
      </c>
      <c r="M12" s="34">
        <v>1391.07</v>
      </c>
      <c r="N12" s="35">
        <v>1391.07</v>
      </c>
      <c r="O12" s="36">
        <v>0</v>
      </c>
      <c r="P12" s="14">
        <v>0</v>
      </c>
      <c r="Q12" s="36">
        <v>10</v>
      </c>
      <c r="R12" s="14">
        <v>0.001</v>
      </c>
      <c r="S12" s="36">
        <v>294</v>
      </c>
      <c r="T12" s="37">
        <v>0.0296</v>
      </c>
      <c r="U12" s="30">
        <v>0</v>
      </c>
      <c r="V12" s="14">
        <v>0</v>
      </c>
      <c r="W12" s="14" t="e">
        <v>#VALUE!</v>
      </c>
      <c r="X12" s="30">
        <v>1747</v>
      </c>
      <c r="Y12" s="14">
        <v>0.1758</v>
      </c>
      <c r="Z12" s="20">
        <v>0</v>
      </c>
      <c r="AA12" s="14">
        <v>0</v>
      </c>
    </row>
    <row r="13" spans="1:27">
      <c r="A13" s="27">
        <v>46183</v>
      </c>
      <c r="B13" s="28" t="s">
        <v>30</v>
      </c>
      <c r="C13" s="20">
        <v>461</v>
      </c>
      <c r="D13" s="29">
        <v>0.79</v>
      </c>
      <c r="E13" s="30">
        <v>5975</v>
      </c>
      <c r="F13" s="30">
        <v>582</v>
      </c>
      <c r="G13" s="30">
        <v>9473</v>
      </c>
      <c r="H13" s="14">
        <v>0.0487</v>
      </c>
      <c r="I13" s="14">
        <v>0.1495</v>
      </c>
      <c r="J13" s="31">
        <v>2202</v>
      </c>
      <c r="K13" s="32">
        <v>120</v>
      </c>
      <c r="L13" s="33">
        <v>0</v>
      </c>
      <c r="M13" s="34">
        <v>1326.21</v>
      </c>
      <c r="N13" s="35">
        <v>1326.21</v>
      </c>
      <c r="O13" s="36">
        <v>0</v>
      </c>
      <c r="P13" s="14">
        <v>0</v>
      </c>
      <c r="Q13" s="36">
        <v>5</v>
      </c>
      <c r="R13" s="14">
        <v>0.0005</v>
      </c>
      <c r="S13" s="36">
        <v>275</v>
      </c>
      <c r="T13" s="37">
        <v>0.029</v>
      </c>
      <c r="U13" s="30">
        <v>0</v>
      </c>
      <c r="V13" s="14">
        <v>0</v>
      </c>
      <c r="W13" s="14" t="e">
        <v>#VALUE!</v>
      </c>
      <c r="X13" s="30">
        <v>1142</v>
      </c>
      <c r="Y13" s="14">
        <v>0.1206</v>
      </c>
      <c r="Z13" s="20">
        <v>0</v>
      </c>
      <c r="AA13" s="14">
        <v>0</v>
      </c>
    </row>
    <row r="14" spans="1:27">
      <c r="A14" s="27">
        <v>46184</v>
      </c>
      <c r="B14" s="28" t="s">
        <v>31</v>
      </c>
      <c r="C14" s="20">
        <v>320</v>
      </c>
      <c r="D14" s="29">
        <v>0.63</v>
      </c>
      <c r="E14" s="30">
        <v>5744</v>
      </c>
      <c r="F14" s="30">
        <v>512</v>
      </c>
      <c r="G14" s="30">
        <v>8103</v>
      </c>
      <c r="H14" s="14">
        <v>0.0395</v>
      </c>
      <c r="I14" s="14">
        <v>0.1758</v>
      </c>
      <c r="J14" s="31">
        <v>1848</v>
      </c>
      <c r="K14" s="32">
        <v>124.84</v>
      </c>
      <c r="L14" s="33">
        <v>0</v>
      </c>
      <c r="M14" s="34">
        <v>1134.47</v>
      </c>
      <c r="N14" s="35">
        <v>1134.47</v>
      </c>
      <c r="O14" s="36">
        <v>0</v>
      </c>
      <c r="P14" s="14">
        <v>0</v>
      </c>
      <c r="Q14" s="36">
        <v>0</v>
      </c>
      <c r="R14" s="14">
        <v>0</v>
      </c>
      <c r="S14" s="36">
        <v>297</v>
      </c>
      <c r="T14" s="37">
        <v>0.0367</v>
      </c>
      <c r="U14" s="30">
        <v>0</v>
      </c>
      <c r="V14" s="14">
        <v>0</v>
      </c>
      <c r="W14" s="14" t="e">
        <v>#VALUE!</v>
      </c>
      <c r="X14" s="30">
        <v>1140</v>
      </c>
      <c r="Y14" s="14">
        <v>0.1407</v>
      </c>
      <c r="Z14" s="20">
        <v>0</v>
      </c>
      <c r="AA14" s="14">
        <v>0</v>
      </c>
    </row>
    <row r="15" spans="1:27">
      <c r="A15" s="27">
        <v>46185</v>
      </c>
      <c r="B15" s="28" t="s">
        <v>32</v>
      </c>
      <c r="C15" s="20">
        <v>283</v>
      </c>
      <c r="D15" s="29">
        <v>0.51</v>
      </c>
      <c r="E15" s="30">
        <v>6645</v>
      </c>
      <c r="F15" s="30">
        <v>555</v>
      </c>
      <c r="G15" s="30">
        <v>9304</v>
      </c>
      <c r="H15" s="14">
        <v>0.0305</v>
      </c>
      <c r="I15" s="14">
        <v>0.1315</v>
      </c>
      <c r="J15" s="31">
        <v>1877</v>
      </c>
      <c r="K15" s="32">
        <v>277.48</v>
      </c>
      <c r="L15" s="33">
        <v>0</v>
      </c>
      <c r="M15" s="34">
        <v>1302.5</v>
      </c>
      <c r="N15" s="35">
        <v>1302.5</v>
      </c>
      <c r="O15" s="36">
        <v>10</v>
      </c>
      <c r="P15" s="37">
        <v>0.0011</v>
      </c>
      <c r="Q15" s="36">
        <v>0</v>
      </c>
      <c r="R15" s="14">
        <v>0</v>
      </c>
      <c r="S15" s="36">
        <v>310</v>
      </c>
      <c r="T15" s="37">
        <v>0.0334</v>
      </c>
      <c r="U15" s="30">
        <v>0</v>
      </c>
      <c r="V15" s="14">
        <v>0</v>
      </c>
      <c r="W15" s="14" t="e">
        <v>#VALUE!</v>
      </c>
      <c r="X15" s="30">
        <v>2485</v>
      </c>
      <c r="Y15" s="37">
        <v>0.2671</v>
      </c>
      <c r="Z15" s="20">
        <v>0</v>
      </c>
      <c r="AA15" s="14">
        <v>0</v>
      </c>
    </row>
    <row r="16" spans="1:27">
      <c r="A16" s="27">
        <v>46186</v>
      </c>
      <c r="B16" s="28" t="s">
        <v>33</v>
      </c>
      <c r="C16" s="20">
        <v>674</v>
      </c>
      <c r="D16" s="29">
        <v>0.71</v>
      </c>
      <c r="E16" s="30">
        <v>15204</v>
      </c>
      <c r="F16" s="30">
        <v>953</v>
      </c>
      <c r="G16" s="30">
        <v>13848</v>
      </c>
      <c r="H16" s="14">
        <v>0.0487</v>
      </c>
      <c r="I16" s="14">
        <v>0.1637</v>
      </c>
      <c r="J16" s="31">
        <v>3039</v>
      </c>
      <c r="K16" s="32">
        <v>272.34</v>
      </c>
      <c r="L16" s="33">
        <v>0</v>
      </c>
      <c r="M16" s="34">
        <v>1941.04</v>
      </c>
      <c r="N16" s="35">
        <v>1932.74</v>
      </c>
      <c r="O16" s="36">
        <v>0</v>
      </c>
      <c r="P16" s="14">
        <v>0</v>
      </c>
      <c r="Q16" s="36">
        <v>0</v>
      </c>
      <c r="R16" s="14">
        <v>0</v>
      </c>
      <c r="S16" s="36">
        <v>308</v>
      </c>
      <c r="T16" s="14">
        <v>0.0222</v>
      </c>
      <c r="U16" s="30">
        <v>0</v>
      </c>
      <c r="V16" s="14">
        <v>0</v>
      </c>
      <c r="W16" s="14" t="e">
        <v>#VALUE!</v>
      </c>
      <c r="X16" s="30">
        <v>2480</v>
      </c>
      <c r="Y16" s="14">
        <v>0.1791</v>
      </c>
      <c r="Z16" s="20">
        <v>0</v>
      </c>
      <c r="AA16" s="14">
        <v>0</v>
      </c>
    </row>
    <row r="17" spans="1:27">
      <c r="A17" s="27">
        <v>46187</v>
      </c>
      <c r="B17" s="28" t="s">
        <v>34</v>
      </c>
      <c r="C17" s="20">
        <v>378</v>
      </c>
      <c r="D17" s="29">
        <v>0.61</v>
      </c>
      <c r="E17" s="30">
        <v>7552</v>
      </c>
      <c r="F17" s="30">
        <v>617</v>
      </c>
      <c r="G17" s="30">
        <v>9617</v>
      </c>
      <c r="H17" s="14">
        <v>0.0393</v>
      </c>
      <c r="I17" s="14">
        <v>0.1491</v>
      </c>
      <c r="J17" s="31">
        <v>2125</v>
      </c>
      <c r="K17" s="32">
        <v>187.19</v>
      </c>
      <c r="L17" s="33">
        <v>0</v>
      </c>
      <c r="M17" s="34">
        <v>1346.36</v>
      </c>
      <c r="N17" s="35">
        <v>1346.36</v>
      </c>
      <c r="O17" s="36">
        <v>10</v>
      </c>
      <c r="P17" s="37">
        <v>0.001</v>
      </c>
      <c r="Q17" s="36">
        <v>0</v>
      </c>
      <c r="R17" s="14">
        <v>0</v>
      </c>
      <c r="S17" s="36">
        <v>312</v>
      </c>
      <c r="T17" s="37">
        <v>0.0324</v>
      </c>
      <c r="U17" s="30">
        <v>0</v>
      </c>
      <c r="V17" s="14">
        <v>0</v>
      </c>
      <c r="W17" s="14" t="e">
        <v>#VALUE!</v>
      </c>
      <c r="X17" s="30">
        <v>1660</v>
      </c>
      <c r="Y17" s="14">
        <v>0.1726</v>
      </c>
      <c r="Z17" s="20">
        <v>0</v>
      </c>
      <c r="AA17" s="14">
        <v>0</v>
      </c>
    </row>
    <row r="18" spans="1:27">
      <c r="A18" s="27">
        <v>46188</v>
      </c>
      <c r="B18" s="28" t="s">
        <v>28</v>
      </c>
      <c r="C18" s="20">
        <v>300</v>
      </c>
      <c r="D18" s="29">
        <v>0.59</v>
      </c>
      <c r="E18" s="30">
        <v>6135</v>
      </c>
      <c r="F18" s="30">
        <v>506</v>
      </c>
      <c r="G18" s="30">
        <v>8442</v>
      </c>
      <c r="H18" s="14">
        <v>0.0355</v>
      </c>
      <c r="I18" s="14">
        <v>0.1285</v>
      </c>
      <c r="J18" s="31">
        <v>1909</v>
      </c>
      <c r="K18" s="32">
        <v>135.07</v>
      </c>
      <c r="L18" s="33">
        <v>0</v>
      </c>
      <c r="M18" s="34">
        <v>1181.85</v>
      </c>
      <c r="N18" s="35">
        <v>1181.85</v>
      </c>
      <c r="O18" s="36">
        <v>30</v>
      </c>
      <c r="P18" s="37">
        <v>0.0036</v>
      </c>
      <c r="Q18" s="36">
        <v>0</v>
      </c>
      <c r="R18" s="14">
        <v>0</v>
      </c>
      <c r="S18" s="36">
        <v>308</v>
      </c>
      <c r="T18" s="37">
        <v>0.0365</v>
      </c>
      <c r="U18" s="30">
        <v>0</v>
      </c>
      <c r="V18" s="14">
        <v>0</v>
      </c>
      <c r="W18" s="14" t="e">
        <v>#VALUE!</v>
      </c>
      <c r="X18" s="30">
        <v>1157</v>
      </c>
      <c r="Y18" s="14">
        <v>0.1371</v>
      </c>
      <c r="Z18" s="20">
        <v>0</v>
      </c>
      <c r="AA18" s="14">
        <v>0</v>
      </c>
    </row>
    <row r="19" spans="1:27">
      <c r="A19" s="27">
        <v>46189</v>
      </c>
      <c r="B19" s="28" t="s">
        <v>29</v>
      </c>
      <c r="C19" s="20">
        <v>523</v>
      </c>
      <c r="D19" s="29">
        <v>0.83</v>
      </c>
      <c r="E19" s="30">
        <v>7639</v>
      </c>
      <c r="F19" s="30">
        <v>629</v>
      </c>
      <c r="G19" s="30">
        <v>10517</v>
      </c>
      <c r="H19" s="14">
        <v>0.0497</v>
      </c>
      <c r="I19" s="14">
        <v>0.1049</v>
      </c>
      <c r="J19" s="31">
        <v>2461</v>
      </c>
      <c r="K19" s="32">
        <v>124.86</v>
      </c>
      <c r="L19" s="33">
        <v>0</v>
      </c>
      <c r="M19" s="34">
        <v>1472.38</v>
      </c>
      <c r="N19" s="35">
        <v>1472.38</v>
      </c>
      <c r="O19" s="36">
        <v>0</v>
      </c>
      <c r="P19" s="14">
        <v>0</v>
      </c>
      <c r="Q19" s="36">
        <v>0</v>
      </c>
      <c r="R19" s="14">
        <v>0</v>
      </c>
      <c r="S19" s="36">
        <v>311</v>
      </c>
      <c r="T19" s="37">
        <v>0.0295</v>
      </c>
      <c r="U19" s="30">
        <v>0</v>
      </c>
      <c r="V19" s="14">
        <v>0</v>
      </c>
      <c r="W19" s="14" t="e">
        <v>#VALUE!</v>
      </c>
      <c r="X19" s="30">
        <v>1090</v>
      </c>
      <c r="Y19" s="14">
        <v>0.1036</v>
      </c>
      <c r="Z19" s="20">
        <v>0</v>
      </c>
      <c r="AA19" s="14">
        <v>0</v>
      </c>
    </row>
    <row r="20" spans="1:27">
      <c r="A20" s="27">
        <v>46190</v>
      </c>
      <c r="B20" s="28" t="s">
        <v>30</v>
      </c>
      <c r="C20" s="20">
        <v>470</v>
      </c>
      <c r="D20" s="29">
        <v>0.7</v>
      </c>
      <c r="E20" s="30">
        <v>8142</v>
      </c>
      <c r="F20" s="30">
        <v>669</v>
      </c>
      <c r="G20" s="30">
        <v>10208</v>
      </c>
      <c r="H20" s="14">
        <v>0.0461</v>
      </c>
      <c r="I20" s="14">
        <v>0.1076</v>
      </c>
      <c r="J20" s="31">
        <v>2358</v>
      </c>
      <c r="K20" s="32">
        <v>135.59</v>
      </c>
      <c r="L20" s="33">
        <v>0</v>
      </c>
      <c r="M20" s="34">
        <v>1433.41</v>
      </c>
      <c r="N20" s="35">
        <v>1413.79</v>
      </c>
      <c r="O20" s="36">
        <v>0</v>
      </c>
      <c r="P20" s="14">
        <v>0</v>
      </c>
      <c r="Q20" s="36">
        <v>0</v>
      </c>
      <c r="R20" s="14">
        <v>0</v>
      </c>
      <c r="S20" s="36">
        <v>311</v>
      </c>
      <c r="T20" s="37">
        <v>0.0305</v>
      </c>
      <c r="U20" s="30">
        <v>0</v>
      </c>
      <c r="V20" s="14">
        <v>0</v>
      </c>
      <c r="W20" s="14" t="e">
        <v>#VALUE!</v>
      </c>
      <c r="X20" s="30">
        <v>1311</v>
      </c>
      <c r="Y20" s="14">
        <v>0.1285</v>
      </c>
      <c r="Z20" s="20">
        <v>0</v>
      </c>
      <c r="AA20" s="14">
        <v>0</v>
      </c>
    </row>
    <row r="21" spans="1:27">
      <c r="A21" s="27">
        <v>46191</v>
      </c>
      <c r="B21" s="28" t="s">
        <v>31</v>
      </c>
      <c r="C21" s="20">
        <v>173</v>
      </c>
      <c r="D21" s="29">
        <v>0.12</v>
      </c>
      <c r="E21" s="41">
        <v>29504</v>
      </c>
      <c r="F21" s="41">
        <v>1492</v>
      </c>
      <c r="G21" s="30">
        <v>29630</v>
      </c>
      <c r="H21" s="14">
        <v>0.0058</v>
      </c>
      <c r="I21" s="14"/>
      <c r="J21" s="31">
        <v>2702</v>
      </c>
      <c r="K21" s="32">
        <v>2689.22</v>
      </c>
      <c r="L21" s="33">
        <v>0</v>
      </c>
      <c r="M21" s="34">
        <v>4151.54</v>
      </c>
      <c r="N21" s="35">
        <v>4135.17</v>
      </c>
      <c r="O21" s="36">
        <v>0</v>
      </c>
      <c r="P21" s="14">
        <v>0</v>
      </c>
      <c r="Q21" s="36">
        <v>0</v>
      </c>
      <c r="R21" s="14">
        <v>0</v>
      </c>
      <c r="S21" s="36">
        <v>312</v>
      </c>
      <c r="T21" s="14">
        <v>0.0105</v>
      </c>
      <c r="U21" s="30">
        <v>0</v>
      </c>
      <c r="V21" s="14">
        <v>0</v>
      </c>
      <c r="W21" s="14" t="e">
        <v>#VALUE!</v>
      </c>
      <c r="X21" s="30">
        <v>22839</v>
      </c>
      <c r="Y21" s="37">
        <v>0.7708</v>
      </c>
      <c r="Z21" s="20">
        <v>0</v>
      </c>
      <c r="AA21" s="14">
        <v>0</v>
      </c>
    </row>
    <row r="22" spans="1:27">
      <c r="A22" s="27">
        <v>46192</v>
      </c>
      <c r="B22" s="28" t="s">
        <v>32</v>
      </c>
      <c r="C22" s="39">
        <v>-57</v>
      </c>
      <c r="D22" s="40">
        <v>-0.05</v>
      </c>
      <c r="E22" s="30">
        <v>20484</v>
      </c>
      <c r="F22" s="30">
        <v>1254</v>
      </c>
      <c r="G22" s="30">
        <v>22181</v>
      </c>
      <c r="H22" s="14">
        <v>-0.0026</v>
      </c>
      <c r="I22" s="14"/>
      <c r="J22" s="31">
        <v>1826</v>
      </c>
      <c r="K22" s="32">
        <v>2146.37</v>
      </c>
      <c r="L22" s="33">
        <v>0</v>
      </c>
      <c r="M22" s="34">
        <v>3106.82</v>
      </c>
      <c r="N22" s="35">
        <v>3106.82</v>
      </c>
      <c r="O22" s="36">
        <v>10</v>
      </c>
      <c r="P22" s="14">
        <v>0.0005</v>
      </c>
      <c r="Q22" s="36">
        <v>0</v>
      </c>
      <c r="R22" s="14">
        <v>0</v>
      </c>
      <c r="S22" s="36">
        <v>327</v>
      </c>
      <c r="T22" s="14">
        <v>0.0148</v>
      </c>
      <c r="U22" s="30">
        <v>0</v>
      </c>
      <c r="V22" s="14">
        <v>0</v>
      </c>
      <c r="W22" s="14" t="e">
        <v>#VALUE!</v>
      </c>
      <c r="X22" s="30">
        <v>19307</v>
      </c>
      <c r="Y22" s="37">
        <v>0.8704</v>
      </c>
      <c r="Z22" s="20">
        <v>0</v>
      </c>
      <c r="AA22" s="14">
        <v>0</v>
      </c>
    </row>
    <row r="23" spans="1:27">
      <c r="A23" s="27">
        <v>46193</v>
      </c>
      <c r="B23" s="28" t="s">
        <v>33</v>
      </c>
      <c r="C23" s="39">
        <v>-70</v>
      </c>
      <c r="D23" s="40">
        <v>-0.06</v>
      </c>
      <c r="E23" s="30">
        <v>14172</v>
      </c>
      <c r="F23" s="30">
        <v>1201</v>
      </c>
      <c r="G23" s="30">
        <v>18549</v>
      </c>
      <c r="H23" s="14">
        <v>-0.0038</v>
      </c>
      <c r="I23" s="14"/>
      <c r="J23" s="31">
        <v>2487</v>
      </c>
      <c r="K23" s="32">
        <v>1250.48</v>
      </c>
      <c r="L23" s="33">
        <v>0</v>
      </c>
      <c r="M23" s="34">
        <v>2602.06</v>
      </c>
      <c r="N23" s="35">
        <v>2602.06</v>
      </c>
      <c r="O23" s="36">
        <v>10</v>
      </c>
      <c r="P23" s="37">
        <v>0.0005</v>
      </c>
      <c r="Q23" s="36">
        <v>367</v>
      </c>
      <c r="R23" s="37">
        <v>0.0198</v>
      </c>
      <c r="S23" s="36">
        <v>321</v>
      </c>
      <c r="T23" s="14">
        <v>0.0173</v>
      </c>
      <c r="U23" s="30">
        <v>0</v>
      </c>
      <c r="V23" s="14">
        <v>0</v>
      </c>
      <c r="W23" s="14" t="e">
        <v>#VALUE!</v>
      </c>
      <c r="X23" s="30">
        <v>11267</v>
      </c>
      <c r="Y23" s="37">
        <v>0.6074</v>
      </c>
      <c r="Z23" s="20">
        <v>0</v>
      </c>
      <c r="AA23" s="14">
        <v>0</v>
      </c>
    </row>
    <row r="24" spans="1:27">
      <c r="A24" s="27">
        <v>46194</v>
      </c>
      <c r="B24" s="28" t="s">
        <v>34</v>
      </c>
      <c r="C24" s="20">
        <v>326</v>
      </c>
      <c r="D24" s="29">
        <v>0.34</v>
      </c>
      <c r="E24" s="30">
        <v>15879</v>
      </c>
      <c r="F24" s="30">
        <v>950</v>
      </c>
      <c r="G24" s="30">
        <v>15852</v>
      </c>
      <c r="H24" s="14">
        <v>0.0205</v>
      </c>
      <c r="I24" s="14"/>
      <c r="J24" s="31">
        <v>2983</v>
      </c>
      <c r="K24" s="32">
        <v>601.55</v>
      </c>
      <c r="L24" s="33">
        <v>0</v>
      </c>
      <c r="M24" s="34">
        <v>2222.7</v>
      </c>
      <c r="N24" s="35">
        <v>2217.66</v>
      </c>
      <c r="O24" s="36">
        <v>30</v>
      </c>
      <c r="P24" s="37">
        <v>0.0019</v>
      </c>
      <c r="Q24" s="36">
        <v>328</v>
      </c>
      <c r="R24" s="37">
        <v>0.0207</v>
      </c>
      <c r="S24" s="36">
        <v>255</v>
      </c>
      <c r="T24" s="14">
        <v>0.0161</v>
      </c>
      <c r="U24" s="30">
        <v>0</v>
      </c>
      <c r="V24" s="14">
        <v>0</v>
      </c>
      <c r="W24" s="14" t="e">
        <v>#VALUE!</v>
      </c>
      <c r="X24" s="30">
        <v>5295</v>
      </c>
      <c r="Y24" s="37">
        <v>0.334</v>
      </c>
      <c r="Z24" s="20">
        <v>0</v>
      </c>
      <c r="AA24" s="14">
        <v>0</v>
      </c>
    </row>
    <row r="25" spans="1:27">
      <c r="A25" s="27">
        <v>46195</v>
      </c>
      <c r="B25" s="28" t="s">
        <v>28</v>
      </c>
      <c r="C25" s="20">
        <v>464</v>
      </c>
      <c r="D25" s="29">
        <v>0.71</v>
      </c>
      <c r="E25" s="30">
        <v>7954</v>
      </c>
      <c r="F25" s="30">
        <v>650</v>
      </c>
      <c r="G25" s="30">
        <v>10443</v>
      </c>
      <c r="H25" s="14">
        <v>0.0444</v>
      </c>
      <c r="I25" s="14">
        <v>0.1277</v>
      </c>
      <c r="J25" s="31">
        <v>2371</v>
      </c>
      <c r="K25" s="32">
        <v>165.33</v>
      </c>
      <c r="L25" s="33">
        <v>0</v>
      </c>
      <c r="M25" s="34">
        <v>1466.32</v>
      </c>
      <c r="N25" s="35">
        <v>1440.51</v>
      </c>
      <c r="O25" s="36">
        <v>0</v>
      </c>
      <c r="P25" s="14">
        <v>0</v>
      </c>
      <c r="Q25" s="36">
        <v>22</v>
      </c>
      <c r="R25" s="37">
        <v>0.0021</v>
      </c>
      <c r="S25" s="36">
        <v>303</v>
      </c>
      <c r="T25" s="37">
        <v>0.029</v>
      </c>
      <c r="U25" s="30">
        <v>0</v>
      </c>
      <c r="V25" s="14">
        <v>0</v>
      </c>
      <c r="W25" s="14" t="e">
        <v>#VALUE!</v>
      </c>
      <c r="X25" s="30">
        <v>1496</v>
      </c>
      <c r="Y25" s="14">
        <v>0.1432</v>
      </c>
      <c r="Z25" s="20">
        <v>0</v>
      </c>
      <c r="AA25" s="14">
        <v>0</v>
      </c>
    </row>
    <row r="26" spans="1:27">
      <c r="A26" s="27">
        <v>46196</v>
      </c>
      <c r="B26" s="28" t="s">
        <v>29</v>
      </c>
      <c r="C26" s="20">
        <v>454</v>
      </c>
      <c r="D26" s="29">
        <v>0.71</v>
      </c>
      <c r="E26" s="30">
        <v>7384</v>
      </c>
      <c r="F26" s="30">
        <v>636</v>
      </c>
      <c r="G26" s="30">
        <v>9950</v>
      </c>
      <c r="H26" s="14">
        <v>0.0456</v>
      </c>
      <c r="I26" s="14">
        <v>0.1148</v>
      </c>
      <c r="J26" s="31">
        <v>2345</v>
      </c>
      <c r="K26" s="32">
        <v>111.12</v>
      </c>
      <c r="L26" s="33">
        <v>0</v>
      </c>
      <c r="M26" s="34">
        <v>1394.03</v>
      </c>
      <c r="N26" s="35">
        <v>1386.46</v>
      </c>
      <c r="O26" s="36">
        <v>0</v>
      </c>
      <c r="P26" s="14">
        <v>0</v>
      </c>
      <c r="Q26" s="36">
        <v>42</v>
      </c>
      <c r="R26" s="37">
        <v>0.0042</v>
      </c>
      <c r="S26" s="36">
        <v>295</v>
      </c>
      <c r="T26" s="37">
        <v>0.0297</v>
      </c>
      <c r="U26" s="30">
        <v>0</v>
      </c>
      <c r="V26" s="14">
        <v>0</v>
      </c>
      <c r="W26" s="14" t="e">
        <v>#VALUE!</v>
      </c>
      <c r="X26" s="30">
        <v>976</v>
      </c>
      <c r="Y26" s="14">
        <v>0.0981</v>
      </c>
      <c r="Z26" s="20">
        <v>0</v>
      </c>
      <c r="AA26" s="14">
        <v>0</v>
      </c>
    </row>
    <row r="27" spans="1:27">
      <c r="A27" s="27">
        <v>46197</v>
      </c>
      <c r="B27" s="28" t="s">
        <v>30</v>
      </c>
      <c r="C27" s="20">
        <v>476</v>
      </c>
      <c r="D27" s="29">
        <v>0.81</v>
      </c>
      <c r="E27" s="30">
        <v>6527</v>
      </c>
      <c r="F27" s="30">
        <v>588</v>
      </c>
      <c r="G27" s="30">
        <v>10338</v>
      </c>
      <c r="H27" s="14">
        <v>0.0461</v>
      </c>
      <c r="I27" s="14">
        <v>0.1463</v>
      </c>
      <c r="J27" s="31">
        <v>2309</v>
      </c>
      <c r="K27" s="32">
        <v>183.73</v>
      </c>
      <c r="L27" s="33">
        <v>0</v>
      </c>
      <c r="M27" s="34">
        <v>1450.1</v>
      </c>
      <c r="N27" s="35">
        <v>1434.29</v>
      </c>
      <c r="O27" s="36">
        <v>10</v>
      </c>
      <c r="P27" s="37">
        <v>0.001</v>
      </c>
      <c r="Q27" s="36">
        <v>2</v>
      </c>
      <c r="R27" s="14">
        <v>0.0001</v>
      </c>
      <c r="S27" s="36">
        <v>286</v>
      </c>
      <c r="T27" s="37">
        <v>0.0277</v>
      </c>
      <c r="U27" s="30">
        <v>0</v>
      </c>
      <c r="V27" s="14">
        <v>0</v>
      </c>
      <c r="W27" s="14" t="e">
        <v>#VALUE!</v>
      </c>
      <c r="X27" s="30">
        <v>1615</v>
      </c>
      <c r="Y27" s="14">
        <v>0.1562</v>
      </c>
      <c r="Z27" s="20">
        <v>0</v>
      </c>
      <c r="AA27" s="14">
        <v>0</v>
      </c>
    </row>
    <row r="28" spans="1:27">
      <c r="A28" s="27">
        <v>46198</v>
      </c>
      <c r="B28" s="28" t="s">
        <v>31</v>
      </c>
      <c r="C28" s="20">
        <v>362</v>
      </c>
      <c r="D28" s="29">
        <v>0.67</v>
      </c>
      <c r="E28" s="30">
        <v>6620</v>
      </c>
      <c r="F28" s="30">
        <v>540</v>
      </c>
      <c r="G28" s="30">
        <v>8365</v>
      </c>
      <c r="H28" s="14">
        <v>0.0432</v>
      </c>
      <c r="I28" s="14">
        <v>0.1333</v>
      </c>
      <c r="J28" s="31">
        <v>1983</v>
      </c>
      <c r="K28" s="32">
        <v>87.4</v>
      </c>
      <c r="L28" s="33">
        <v>0</v>
      </c>
      <c r="M28" s="34">
        <v>1171.34</v>
      </c>
      <c r="N28" s="35">
        <v>1171.34</v>
      </c>
      <c r="O28" s="36">
        <v>0</v>
      </c>
      <c r="P28" s="14">
        <v>0</v>
      </c>
      <c r="Q28" s="36">
        <v>0</v>
      </c>
      <c r="R28" s="14">
        <v>0</v>
      </c>
      <c r="S28" s="36">
        <v>310</v>
      </c>
      <c r="T28" s="37">
        <v>0.0371</v>
      </c>
      <c r="U28" s="30">
        <v>0</v>
      </c>
      <c r="V28" s="14">
        <v>0</v>
      </c>
      <c r="W28" s="14" t="e">
        <v>#VALUE!</v>
      </c>
      <c r="X28" s="30">
        <v>754</v>
      </c>
      <c r="Y28" s="14">
        <v>0.0902</v>
      </c>
      <c r="Z28" s="20">
        <v>0</v>
      </c>
      <c r="AA28" s="14">
        <v>0</v>
      </c>
    </row>
    <row r="29" spans="1:27">
      <c r="A29" s="27">
        <v>46199</v>
      </c>
      <c r="B29" s="28" t="s">
        <v>32</v>
      </c>
      <c r="C29" s="20">
        <v>347</v>
      </c>
      <c r="D29" s="29">
        <v>0.55</v>
      </c>
      <c r="E29" s="30">
        <v>7865</v>
      </c>
      <c r="F29" s="30">
        <v>634</v>
      </c>
      <c r="G29" s="30">
        <v>11599</v>
      </c>
      <c r="H29" s="14">
        <v>0.0299</v>
      </c>
      <c r="I29" s="14">
        <v>0.1262</v>
      </c>
      <c r="J29" s="31">
        <v>2187</v>
      </c>
      <c r="K29" s="32">
        <v>430.83</v>
      </c>
      <c r="L29" s="33">
        <v>0</v>
      </c>
      <c r="M29" s="34">
        <v>1623.81</v>
      </c>
      <c r="N29" s="35">
        <v>1580.64</v>
      </c>
      <c r="O29" s="36">
        <v>20</v>
      </c>
      <c r="P29" s="37">
        <v>0.0017</v>
      </c>
      <c r="Q29" s="36">
        <v>0</v>
      </c>
      <c r="R29" s="14">
        <v>0</v>
      </c>
      <c r="S29" s="36">
        <v>327</v>
      </c>
      <c r="T29" s="37">
        <v>0.0282</v>
      </c>
      <c r="U29" s="30">
        <v>0</v>
      </c>
      <c r="V29" s="14">
        <v>0</v>
      </c>
      <c r="W29" s="14" t="e">
        <v>#VALUE!</v>
      </c>
      <c r="X29" s="30">
        <v>3620</v>
      </c>
      <c r="Y29" s="37">
        <v>0.3121</v>
      </c>
      <c r="Z29" s="20">
        <v>0</v>
      </c>
      <c r="AA29" s="14">
        <v>0</v>
      </c>
    </row>
    <row r="30" spans="1:27">
      <c r="A30" s="27">
        <v>46200</v>
      </c>
      <c r="B30" s="28" t="s">
        <v>33</v>
      </c>
      <c r="C30" s="20">
        <v>425</v>
      </c>
      <c r="D30" s="29">
        <v>0.72</v>
      </c>
      <c r="E30" s="30">
        <v>6719</v>
      </c>
      <c r="F30" s="30">
        <v>588</v>
      </c>
      <c r="G30" s="30">
        <v>9752</v>
      </c>
      <c r="H30" s="14">
        <v>0.0436</v>
      </c>
      <c r="I30" s="14">
        <v>0.1395</v>
      </c>
      <c r="J30" s="31">
        <v>2168</v>
      </c>
      <c r="K30" s="32">
        <v>178.8</v>
      </c>
      <c r="L30" s="33">
        <v>0</v>
      </c>
      <c r="M30" s="34">
        <v>1365.44</v>
      </c>
      <c r="N30" s="35">
        <v>1336.14</v>
      </c>
      <c r="O30" s="36">
        <v>0</v>
      </c>
      <c r="P30" s="14">
        <v>0</v>
      </c>
      <c r="Q30" s="36">
        <v>0</v>
      </c>
      <c r="R30" s="14">
        <v>0</v>
      </c>
      <c r="S30" s="36">
        <v>296</v>
      </c>
      <c r="T30" s="37">
        <v>0.0304</v>
      </c>
      <c r="U30" s="30">
        <v>0</v>
      </c>
      <c r="V30" s="14">
        <v>0</v>
      </c>
      <c r="W30" s="14" t="e">
        <v>#VALUE!</v>
      </c>
      <c r="X30" s="30">
        <v>1515</v>
      </c>
      <c r="Y30" s="14">
        <v>0.1554</v>
      </c>
      <c r="Z30" s="20">
        <v>0</v>
      </c>
      <c r="AA30" s="14">
        <v>0</v>
      </c>
    </row>
    <row r="31" spans="1:27">
      <c r="A31" s="27">
        <v>46201</v>
      </c>
      <c r="B31" s="28" t="s">
        <v>34</v>
      </c>
      <c r="C31" s="20">
        <v>382</v>
      </c>
      <c r="D31" s="29">
        <v>0.72</v>
      </c>
      <c r="E31" s="30">
        <v>6765</v>
      </c>
      <c r="F31" s="30">
        <v>528</v>
      </c>
      <c r="G31" s="30">
        <v>8751</v>
      </c>
      <c r="H31" s="14">
        <v>0.0437</v>
      </c>
      <c r="I31" s="14">
        <v>0.1326</v>
      </c>
      <c r="J31" s="31">
        <v>1936</v>
      </c>
      <c r="K31" s="32">
        <v>166.13</v>
      </c>
      <c r="L31" s="33">
        <v>0</v>
      </c>
      <c r="M31" s="34">
        <v>1225.1</v>
      </c>
      <c r="N31" s="35">
        <v>1214.44</v>
      </c>
      <c r="O31" s="36">
        <v>0</v>
      </c>
      <c r="P31" s="14">
        <v>0</v>
      </c>
      <c r="Q31" s="36">
        <v>0</v>
      </c>
      <c r="R31" s="14">
        <v>0</v>
      </c>
      <c r="S31" s="36">
        <v>262</v>
      </c>
      <c r="T31" s="37">
        <v>0.0299</v>
      </c>
      <c r="U31" s="30">
        <v>0</v>
      </c>
      <c r="V31" s="14">
        <v>0</v>
      </c>
      <c r="W31" s="14" t="e">
        <v>#VALUE!</v>
      </c>
      <c r="X31" s="30">
        <v>1419</v>
      </c>
      <c r="Y31" s="14">
        <v>0.1622</v>
      </c>
      <c r="Z31" s="20">
        <v>0</v>
      </c>
      <c r="AA31" s="14">
        <v>0</v>
      </c>
    </row>
    <row r="32" spans="1:27">
      <c r="A32" s="27">
        <v>46202</v>
      </c>
      <c r="B32" s="28" t="s">
        <v>28</v>
      </c>
      <c r="C32" s="20">
        <v>278</v>
      </c>
      <c r="D32" s="29">
        <v>0.63</v>
      </c>
      <c r="E32" s="38">
        <v>5098</v>
      </c>
      <c r="F32" s="38">
        <v>439</v>
      </c>
      <c r="G32" s="30">
        <v>7136</v>
      </c>
      <c r="H32" s="14">
        <v>0.039</v>
      </c>
      <c r="I32" s="14">
        <v>0.1116</v>
      </c>
      <c r="J32" s="31">
        <v>1674</v>
      </c>
      <c r="K32" s="32">
        <v>82.53</v>
      </c>
      <c r="L32" s="33">
        <v>0</v>
      </c>
      <c r="M32" s="34">
        <v>999.04</v>
      </c>
      <c r="N32" s="35">
        <v>999.04</v>
      </c>
      <c r="O32" s="36">
        <v>0</v>
      </c>
      <c r="P32" s="14">
        <v>0</v>
      </c>
      <c r="Q32" s="36">
        <v>0</v>
      </c>
      <c r="R32" s="14">
        <v>0</v>
      </c>
      <c r="S32" s="36">
        <v>288</v>
      </c>
      <c r="T32" s="37">
        <v>0.0404</v>
      </c>
      <c r="U32" s="30">
        <v>0</v>
      </c>
      <c r="V32" s="14">
        <v>0</v>
      </c>
      <c r="W32" s="14" t="e">
        <v>#VALUE!</v>
      </c>
      <c r="X32" s="30">
        <v>812</v>
      </c>
      <c r="Y32" s="14">
        <v>0.1138</v>
      </c>
      <c r="Z32" s="20">
        <v>0</v>
      </c>
      <c r="AA32" s="14">
        <v>0</v>
      </c>
    </row>
    <row r="33" spans="1:27">
      <c r="A33" s="27">
        <v>46203</v>
      </c>
      <c r="B33" s="28" t="s">
        <v>29</v>
      </c>
      <c r="C33" s="20">
        <v>309</v>
      </c>
      <c r="D33" s="29">
        <v>0.58</v>
      </c>
      <c r="E33" s="30">
        <v>7222</v>
      </c>
      <c r="F33" s="30">
        <v>533</v>
      </c>
      <c r="G33" s="30">
        <v>8166</v>
      </c>
      <c r="H33" s="14">
        <v>0.0378</v>
      </c>
      <c r="I33" s="14">
        <v>0.1276</v>
      </c>
      <c r="J33" s="31">
        <v>1880</v>
      </c>
      <c r="K33" s="32">
        <v>115.12</v>
      </c>
      <c r="L33" s="33">
        <v>0</v>
      </c>
      <c r="M33" s="34">
        <v>1145.95</v>
      </c>
      <c r="N33" s="35">
        <v>1140.08</v>
      </c>
      <c r="O33" s="36">
        <v>0</v>
      </c>
      <c r="P33" s="14">
        <v>0</v>
      </c>
      <c r="Q33" s="36">
        <v>0</v>
      </c>
      <c r="R33" s="14">
        <v>0</v>
      </c>
      <c r="S33" s="36">
        <v>316</v>
      </c>
      <c r="T33" s="37">
        <v>0.0387</v>
      </c>
      <c r="U33" s="30">
        <v>0</v>
      </c>
      <c r="V33" s="14">
        <v>0</v>
      </c>
      <c r="W33" s="14" t="e">
        <v>#VALUE!</v>
      </c>
      <c r="X33" s="30">
        <v>1060</v>
      </c>
      <c r="Y33" s="14">
        <v>0.1298</v>
      </c>
      <c r="Z33" s="20">
        <v>0</v>
      </c>
      <c r="AA33" s="14">
        <v>0</v>
      </c>
    </row>
  </sheetData>
  <sheetProtection formatCells="0" formatColumns="0" formatRows="0" insertRows="0" insertColumns="0" insertHyperlinks="0" deleteColumns="0" deleteRows="0" sort="0" autoFilter="0" pivotTables="0"/>
  <mergeCells count="11">
    <mergeCell ref="A3:B3"/>
    <mergeCell ref="D2:D3"/>
    <mergeCell ref="H2:H3"/>
    <mergeCell ref="I2:I3"/>
    <mergeCell ref="P2:P3"/>
    <mergeCell ref="R2:R3"/>
    <mergeCell ref="T2:T3"/>
    <mergeCell ref="V2:V3"/>
    <mergeCell ref="W2:W3"/>
    <mergeCell ref="Y2:Y3"/>
    <mergeCell ref="AA2:AA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11.3307692307692" defaultRowHeight="14.5"/>
  <cols>
    <col min="1" max="1" width="16.8923076923077" style="1" customWidth="1"/>
    <col min="2" max="16384" width="11.3307692307692" style="1"/>
  </cols>
  <sheetData>
    <row r="1" spans="1:27">
      <c r="A1" s="2" t="s">
        <v>39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10" t="s">
        <v>13</v>
      </c>
      <c r="O1" s="8" t="s">
        <v>14</v>
      </c>
      <c r="P1" s="11" t="s">
        <v>15</v>
      </c>
      <c r="Q1" s="8" t="s">
        <v>16</v>
      </c>
      <c r="R1" s="11" t="s">
        <v>17</v>
      </c>
      <c r="S1" s="8" t="s">
        <v>18</v>
      </c>
      <c r="T1" s="11" t="s">
        <v>19</v>
      </c>
      <c r="U1" s="5" t="s">
        <v>20</v>
      </c>
      <c r="V1" s="10" t="s">
        <v>21</v>
      </c>
      <c r="W1" s="6" t="s">
        <v>22</v>
      </c>
      <c r="X1" s="10" t="s">
        <v>23</v>
      </c>
      <c r="Y1" s="10" t="s">
        <v>24</v>
      </c>
      <c r="Z1" s="5" t="s">
        <v>25</v>
      </c>
      <c r="AA1" s="11" t="s">
        <v>26</v>
      </c>
    </row>
    <row r="2" ht="19.5" customHeight="1" spans="1:27">
      <c r="A2" s="12">
        <v>16390</v>
      </c>
      <c r="B2" s="13">
        <v>24800</v>
      </c>
      <c r="C2" s="14">
        <v>0.6609</v>
      </c>
      <c r="D2" s="15">
        <v>0.2</v>
      </c>
      <c r="E2" s="16">
        <f t="shared" ref="E2:G2" si="0">SUM(E4:E33)</f>
        <v>783286</v>
      </c>
      <c r="F2" s="16">
        <f t="shared" si="0"/>
        <v>76984</v>
      </c>
      <c r="G2" s="16">
        <f t="shared" si="0"/>
        <v>1233567</v>
      </c>
      <c r="H2" s="17">
        <f>AVERAGE(H4:H33)</f>
        <v>0.0165133333333333</v>
      </c>
      <c r="I2" s="17">
        <f>AVERAGE(I4:I33)</f>
        <v>0.525623076923077</v>
      </c>
      <c r="J2" s="18">
        <f t="shared" ref="J2:O2" si="1">SUM(J4:J33)</f>
        <v>213485</v>
      </c>
      <c r="K2" s="18">
        <f t="shared" si="1"/>
        <v>46644.35</v>
      </c>
      <c r="L2" s="18">
        <f t="shared" si="1"/>
        <v>2121</v>
      </c>
      <c r="M2" s="19">
        <f t="shared" si="1"/>
        <v>172818.94</v>
      </c>
      <c r="N2" s="19">
        <f t="shared" si="1"/>
        <v>172625.35</v>
      </c>
      <c r="O2" s="19">
        <f t="shared" si="1"/>
        <v>988</v>
      </c>
      <c r="P2" s="17">
        <f t="shared" ref="P2:T2" si="2">AVERAGE(P4:P33)</f>
        <v>0.000846666666666667</v>
      </c>
      <c r="Q2" s="20">
        <f t="shared" ref="Q2:U2" si="3">SUM(Q4:Q33)</f>
        <v>14870</v>
      </c>
      <c r="R2" s="17">
        <f t="shared" si="2"/>
        <v>0.0125266666666667</v>
      </c>
      <c r="S2" s="20">
        <f t="shared" si="3"/>
        <v>23532</v>
      </c>
      <c r="T2" s="17">
        <f t="shared" si="2"/>
        <v>0.02081</v>
      </c>
      <c r="U2" s="16">
        <f t="shared" si="3"/>
        <v>10617</v>
      </c>
      <c r="V2" s="17">
        <f t="shared" ref="V2:Y2" si="4">AVERAGE(V4:V33)</f>
        <v>0.00980333333333333</v>
      </c>
      <c r="W2" s="21" t="e">
        <f t="shared" si="4"/>
        <v>#VALUE!</v>
      </c>
      <c r="X2" s="16">
        <f>SUM(X4:X33)</f>
        <v>497336</v>
      </c>
      <c r="Y2" s="17">
        <f t="shared" si="4"/>
        <v>0.35458</v>
      </c>
      <c r="Z2" s="20">
        <f>SUM(Z4:Z33)</f>
        <v>1486</v>
      </c>
      <c r="AA2" s="17">
        <f>AVERAGE(AA4:AA33)</f>
        <v>0.00136666666666667</v>
      </c>
    </row>
    <row r="3" ht="19.5" customHeight="1" spans="1:27">
      <c r="A3" s="22" t="s">
        <v>27</v>
      </c>
      <c r="B3" s="22"/>
      <c r="C3" s="23">
        <v>515</v>
      </c>
      <c r="D3" s="15"/>
      <c r="E3" s="24">
        <f t="shared" ref="E3:G3" si="5">AVERAGE(E4:E33)</f>
        <v>26109.5333333333</v>
      </c>
      <c r="F3" s="24">
        <f t="shared" si="5"/>
        <v>2566.13333333333</v>
      </c>
      <c r="G3" s="24">
        <f t="shared" si="5"/>
        <v>41118.9</v>
      </c>
      <c r="H3" s="17"/>
      <c r="I3" s="17"/>
      <c r="J3" s="25">
        <f t="shared" ref="J3:O3" si="6">AVERAGE(J4:J33)</f>
        <v>7116.16666666667</v>
      </c>
      <c r="K3" s="25">
        <f t="shared" si="6"/>
        <v>1554.81166666667</v>
      </c>
      <c r="L3" s="25">
        <f t="shared" si="6"/>
        <v>70.7</v>
      </c>
      <c r="M3" s="26">
        <f t="shared" si="6"/>
        <v>5760.63133333333</v>
      </c>
      <c r="N3" s="26">
        <f t="shared" si="6"/>
        <v>5754.17833333333</v>
      </c>
      <c r="O3" s="23">
        <f t="shared" si="6"/>
        <v>32.9333333333333</v>
      </c>
      <c r="P3" s="17"/>
      <c r="Q3" s="23">
        <f t="shared" ref="Q3:U3" si="7">AVERAGE(Q4:Q33)</f>
        <v>495.666666666667</v>
      </c>
      <c r="R3" s="17"/>
      <c r="S3" s="23">
        <f t="shared" si="7"/>
        <v>784.4</v>
      </c>
      <c r="T3" s="17"/>
      <c r="U3" s="24">
        <f t="shared" si="7"/>
        <v>353.9</v>
      </c>
      <c r="V3" s="17"/>
      <c r="W3" s="21"/>
      <c r="X3" s="24">
        <f>AVERAGE(X4:X33)</f>
        <v>16577.8666666667</v>
      </c>
      <c r="Y3" s="17"/>
      <c r="Z3" s="23">
        <f>AVERAGE(Z4:Z33)</f>
        <v>49.5333333333333</v>
      </c>
      <c r="AA3" s="17"/>
    </row>
    <row r="4" spans="1:27">
      <c r="A4" s="27">
        <v>46174</v>
      </c>
      <c r="B4" s="28" t="s">
        <v>28</v>
      </c>
      <c r="C4" s="20">
        <v>582</v>
      </c>
      <c r="D4" s="29">
        <v>0.29</v>
      </c>
      <c r="E4" s="30">
        <v>16050</v>
      </c>
      <c r="F4" s="30">
        <v>2032</v>
      </c>
      <c r="G4" s="30">
        <v>31162</v>
      </c>
      <c r="H4" s="14">
        <v>0.0187</v>
      </c>
      <c r="I4" s="14">
        <v>0.5522</v>
      </c>
      <c r="J4" s="31">
        <v>6052</v>
      </c>
      <c r="K4" s="32">
        <v>829.54</v>
      </c>
      <c r="L4" s="33">
        <v>107</v>
      </c>
      <c r="M4" s="34">
        <v>4363.98</v>
      </c>
      <c r="N4" s="35">
        <v>4363.98</v>
      </c>
      <c r="O4" s="36">
        <v>16</v>
      </c>
      <c r="P4" s="14">
        <v>0.0005</v>
      </c>
      <c r="Q4" s="36">
        <v>448</v>
      </c>
      <c r="R4" s="37">
        <v>0.0144</v>
      </c>
      <c r="S4" s="36">
        <v>736</v>
      </c>
      <c r="T4" s="37">
        <v>0.0236</v>
      </c>
      <c r="U4" s="30">
        <v>648</v>
      </c>
      <c r="V4" s="37">
        <v>0.0208</v>
      </c>
      <c r="W4" s="14">
        <v>0.0226</v>
      </c>
      <c r="X4" s="30">
        <v>8667</v>
      </c>
      <c r="Y4" s="14">
        <v>0.2781</v>
      </c>
      <c r="Z4" s="20">
        <v>91</v>
      </c>
      <c r="AA4" s="37">
        <v>0.0029</v>
      </c>
    </row>
    <row r="5" spans="1:27">
      <c r="A5" s="27">
        <v>46175</v>
      </c>
      <c r="B5" s="28" t="s">
        <v>29</v>
      </c>
      <c r="C5" s="20">
        <v>791</v>
      </c>
      <c r="D5" s="29">
        <v>0.39</v>
      </c>
      <c r="E5" s="30">
        <v>14823</v>
      </c>
      <c r="F5" s="30">
        <v>2052</v>
      </c>
      <c r="G5" s="30">
        <v>30860</v>
      </c>
      <c r="H5" s="14">
        <v>0.0256</v>
      </c>
      <c r="I5" s="14">
        <v>0.5263</v>
      </c>
      <c r="J5" s="31">
        <v>6181</v>
      </c>
      <c r="K5" s="32">
        <v>731.49</v>
      </c>
      <c r="L5" s="33">
        <v>150</v>
      </c>
      <c r="M5" s="34">
        <v>4321.14</v>
      </c>
      <c r="N5" s="35">
        <v>4321.14</v>
      </c>
      <c r="O5" s="36">
        <v>0</v>
      </c>
      <c r="P5" s="14">
        <v>0</v>
      </c>
      <c r="Q5" s="36">
        <v>500</v>
      </c>
      <c r="R5" s="37">
        <v>0.0162</v>
      </c>
      <c r="S5" s="36">
        <v>616</v>
      </c>
      <c r="T5" s="14">
        <v>0.02</v>
      </c>
      <c r="U5" s="30">
        <v>666</v>
      </c>
      <c r="V5" s="37">
        <v>0.0216</v>
      </c>
      <c r="W5" s="14">
        <v>0.0263</v>
      </c>
      <c r="X5" s="30">
        <v>7573</v>
      </c>
      <c r="Y5" s="14">
        <v>0.2454</v>
      </c>
      <c r="Z5" s="20">
        <v>93</v>
      </c>
      <c r="AA5" s="37">
        <v>0.003</v>
      </c>
    </row>
    <row r="6" spans="1:27">
      <c r="A6" s="27">
        <v>46176</v>
      </c>
      <c r="B6" s="28" t="s">
        <v>30</v>
      </c>
      <c r="C6" s="20">
        <v>1073</v>
      </c>
      <c r="D6" s="29">
        <v>0.53</v>
      </c>
      <c r="E6" s="30">
        <v>17289</v>
      </c>
      <c r="F6" s="30">
        <v>2020</v>
      </c>
      <c r="G6" s="30">
        <v>30329</v>
      </c>
      <c r="H6" s="14">
        <v>0.0354</v>
      </c>
      <c r="I6" s="14">
        <v>0.4851</v>
      </c>
      <c r="J6" s="31">
        <v>6112</v>
      </c>
      <c r="K6" s="32">
        <v>724.24</v>
      </c>
      <c r="L6" s="33">
        <v>128</v>
      </c>
      <c r="M6" s="34">
        <v>4246.79</v>
      </c>
      <c r="N6" s="35">
        <v>4243.55</v>
      </c>
      <c r="O6" s="36">
        <v>32</v>
      </c>
      <c r="P6" s="37">
        <v>0.0011</v>
      </c>
      <c r="Q6" s="36">
        <v>0</v>
      </c>
      <c r="R6" s="14">
        <v>0</v>
      </c>
      <c r="S6" s="36">
        <v>792</v>
      </c>
      <c r="T6" s="37">
        <v>0.0261</v>
      </c>
      <c r="U6" s="30">
        <v>394</v>
      </c>
      <c r="V6" s="37">
        <v>0.013</v>
      </c>
      <c r="W6" s="14">
        <v>0.0149</v>
      </c>
      <c r="X6" s="30">
        <v>7688</v>
      </c>
      <c r="Y6" s="14">
        <v>0.2535</v>
      </c>
      <c r="Z6" s="20">
        <v>55</v>
      </c>
      <c r="AA6" s="37">
        <v>0.0018</v>
      </c>
    </row>
    <row r="7" spans="1:27">
      <c r="A7" s="27">
        <v>46177</v>
      </c>
      <c r="B7" s="28" t="s">
        <v>31</v>
      </c>
      <c r="C7" s="20">
        <v>1050</v>
      </c>
      <c r="D7" s="29">
        <v>0.4</v>
      </c>
      <c r="E7" s="30">
        <v>26840</v>
      </c>
      <c r="F7" s="30">
        <v>2640</v>
      </c>
      <c r="G7" s="30">
        <v>38288</v>
      </c>
      <c r="H7" s="14">
        <v>0.0274</v>
      </c>
      <c r="I7" s="14">
        <v>0.4902</v>
      </c>
      <c r="J7" s="31">
        <v>7241</v>
      </c>
      <c r="K7" s="32">
        <v>1208</v>
      </c>
      <c r="L7" s="33">
        <v>86</v>
      </c>
      <c r="M7" s="34">
        <v>5361.31</v>
      </c>
      <c r="N7" s="35">
        <v>5361.31</v>
      </c>
      <c r="O7" s="36">
        <v>0</v>
      </c>
      <c r="P7" s="14">
        <v>0</v>
      </c>
      <c r="Q7" s="36">
        <v>237</v>
      </c>
      <c r="R7" s="14">
        <v>0.0062</v>
      </c>
      <c r="S7" s="36">
        <v>838</v>
      </c>
      <c r="T7" s="37">
        <v>0.0219</v>
      </c>
      <c r="U7" s="30">
        <v>396</v>
      </c>
      <c r="V7" s="14">
        <v>0.0103</v>
      </c>
      <c r="W7" s="14">
        <v>0.0121</v>
      </c>
      <c r="X7" s="30">
        <v>12619</v>
      </c>
      <c r="Y7" s="14">
        <v>0.3296</v>
      </c>
      <c r="Z7" s="20">
        <v>55</v>
      </c>
      <c r="AA7" s="14">
        <v>0.0014</v>
      </c>
    </row>
    <row r="8" spans="1:27">
      <c r="A8" s="27">
        <v>46178</v>
      </c>
      <c r="B8" s="28" t="s">
        <v>32</v>
      </c>
      <c r="C8" s="20">
        <v>720</v>
      </c>
      <c r="D8" s="29">
        <v>0.29</v>
      </c>
      <c r="E8" s="30">
        <v>20697</v>
      </c>
      <c r="F8" s="30">
        <v>2456</v>
      </c>
      <c r="G8" s="30">
        <v>38978</v>
      </c>
      <c r="H8" s="14">
        <v>0.0185</v>
      </c>
      <c r="I8" s="14">
        <v>0.5175</v>
      </c>
      <c r="J8" s="31">
        <v>6546</v>
      </c>
      <c r="K8" s="32">
        <v>1586.48</v>
      </c>
      <c r="L8" s="33">
        <v>128</v>
      </c>
      <c r="M8" s="34">
        <v>5457.62</v>
      </c>
      <c r="N8" s="35">
        <v>5454.26</v>
      </c>
      <c r="O8" s="36">
        <v>16</v>
      </c>
      <c r="P8" s="14">
        <v>0.0004</v>
      </c>
      <c r="Q8" s="36">
        <v>143</v>
      </c>
      <c r="R8" s="14">
        <v>0.0037</v>
      </c>
      <c r="S8" s="36">
        <v>894</v>
      </c>
      <c r="T8" s="37">
        <v>0.0229</v>
      </c>
      <c r="U8" s="30">
        <v>505</v>
      </c>
      <c r="V8" s="37">
        <v>0.013</v>
      </c>
      <c r="W8" s="14">
        <v>0.0155</v>
      </c>
      <c r="X8" s="30">
        <v>17471</v>
      </c>
      <c r="Y8" s="37">
        <v>0.4482</v>
      </c>
      <c r="Z8" s="20">
        <v>71</v>
      </c>
      <c r="AA8" s="37">
        <v>0.0018</v>
      </c>
    </row>
    <row r="9" spans="1:27">
      <c r="A9" s="27">
        <v>46179</v>
      </c>
      <c r="B9" s="28" t="s">
        <v>33</v>
      </c>
      <c r="C9" s="20">
        <v>280</v>
      </c>
      <c r="D9" s="29">
        <v>0.1</v>
      </c>
      <c r="E9" s="30">
        <v>25409</v>
      </c>
      <c r="F9" s="30">
        <v>2927</v>
      </c>
      <c r="G9" s="30">
        <v>43286</v>
      </c>
      <c r="H9" s="14">
        <v>0.0065</v>
      </c>
      <c r="I9" s="14">
        <v>0.5695</v>
      </c>
      <c r="J9" s="31">
        <v>7942</v>
      </c>
      <c r="K9" s="32">
        <v>1461.67</v>
      </c>
      <c r="L9" s="33">
        <v>128</v>
      </c>
      <c r="M9" s="34">
        <v>6063.81</v>
      </c>
      <c r="N9" s="35">
        <v>6063.81</v>
      </c>
      <c r="O9" s="36">
        <v>48</v>
      </c>
      <c r="P9" s="37">
        <v>0.0011</v>
      </c>
      <c r="Q9" s="36">
        <v>1047</v>
      </c>
      <c r="R9" s="37">
        <v>0.0242</v>
      </c>
      <c r="S9" s="36">
        <v>908</v>
      </c>
      <c r="T9" s="37">
        <v>0.021</v>
      </c>
      <c r="U9" s="30">
        <v>678</v>
      </c>
      <c r="V9" s="37">
        <v>0.0157</v>
      </c>
      <c r="W9" s="14">
        <v>0.0164</v>
      </c>
      <c r="X9" s="30">
        <v>15550</v>
      </c>
      <c r="Y9" s="37">
        <v>0.3592</v>
      </c>
      <c r="Z9" s="20">
        <v>95</v>
      </c>
      <c r="AA9" s="37">
        <v>0.0022</v>
      </c>
    </row>
    <row r="10" spans="1:27">
      <c r="A10" s="27">
        <v>46180</v>
      </c>
      <c r="B10" s="28" t="s">
        <v>34</v>
      </c>
      <c r="C10" s="20">
        <v>735</v>
      </c>
      <c r="D10" s="29">
        <v>0.32</v>
      </c>
      <c r="E10" s="30">
        <v>19151</v>
      </c>
      <c r="F10" s="30">
        <v>2266</v>
      </c>
      <c r="G10" s="30">
        <v>36071</v>
      </c>
      <c r="H10" s="14">
        <v>0.0204</v>
      </c>
      <c r="I10" s="14">
        <v>0.5305</v>
      </c>
      <c r="J10" s="31">
        <v>6692</v>
      </c>
      <c r="K10" s="32">
        <v>1127.45</v>
      </c>
      <c r="L10" s="33">
        <v>107</v>
      </c>
      <c r="M10" s="34">
        <v>5050.88</v>
      </c>
      <c r="N10" s="35">
        <v>5046.46</v>
      </c>
      <c r="O10" s="36">
        <v>0</v>
      </c>
      <c r="P10" s="14">
        <v>0</v>
      </c>
      <c r="Q10" s="36">
        <v>383</v>
      </c>
      <c r="R10" s="37">
        <v>0.0106</v>
      </c>
      <c r="S10" s="36">
        <v>798</v>
      </c>
      <c r="T10" s="37">
        <v>0.0221</v>
      </c>
      <c r="U10" s="30">
        <v>256</v>
      </c>
      <c r="V10" s="14">
        <v>0.0071</v>
      </c>
      <c r="W10" s="14">
        <v>0.0088</v>
      </c>
      <c r="X10" s="30">
        <v>11525</v>
      </c>
      <c r="Y10" s="14">
        <v>0.3195</v>
      </c>
      <c r="Z10" s="20">
        <v>36</v>
      </c>
      <c r="AA10" s="14">
        <v>0.001</v>
      </c>
    </row>
    <row r="11" spans="1:27">
      <c r="A11" s="27">
        <v>46181</v>
      </c>
      <c r="B11" s="28" t="s">
        <v>28</v>
      </c>
      <c r="C11" s="20">
        <v>297</v>
      </c>
      <c r="D11" s="29">
        <v>0.15</v>
      </c>
      <c r="E11" s="30">
        <v>16409</v>
      </c>
      <c r="F11" s="30">
        <v>2002</v>
      </c>
      <c r="G11" s="30">
        <v>29462</v>
      </c>
      <c r="H11" s="14">
        <v>0.0101</v>
      </c>
      <c r="I11" s="14">
        <v>0.5584</v>
      </c>
      <c r="J11" s="31">
        <v>5770</v>
      </c>
      <c r="K11" s="32">
        <v>833.75</v>
      </c>
      <c r="L11" s="33">
        <v>86</v>
      </c>
      <c r="M11" s="34">
        <v>4128.85</v>
      </c>
      <c r="N11" s="35">
        <v>4128.85</v>
      </c>
      <c r="O11" s="36">
        <v>32</v>
      </c>
      <c r="P11" s="37">
        <v>0.0011</v>
      </c>
      <c r="Q11" s="36">
        <v>524</v>
      </c>
      <c r="R11" s="37">
        <v>0.0178</v>
      </c>
      <c r="S11" s="36">
        <v>902</v>
      </c>
      <c r="T11" s="37">
        <v>0.0306</v>
      </c>
      <c r="U11" s="30">
        <v>243</v>
      </c>
      <c r="V11" s="14">
        <v>0.0083</v>
      </c>
      <c r="W11" s="14">
        <v>0.009</v>
      </c>
      <c r="X11" s="30">
        <v>8890</v>
      </c>
      <c r="Y11" s="14">
        <v>0.3017</v>
      </c>
      <c r="Z11" s="20">
        <v>34</v>
      </c>
      <c r="AA11" s="14">
        <v>0.0012</v>
      </c>
    </row>
    <row r="12" spans="1:27">
      <c r="A12" s="27">
        <v>46182</v>
      </c>
      <c r="B12" s="28" t="s">
        <v>29</v>
      </c>
      <c r="C12" s="20">
        <v>227</v>
      </c>
      <c r="D12" s="29">
        <v>0.09</v>
      </c>
      <c r="E12" s="30">
        <v>24363</v>
      </c>
      <c r="F12" s="30">
        <v>2551</v>
      </c>
      <c r="G12" s="30">
        <v>37100</v>
      </c>
      <c r="H12" s="14">
        <v>0.0061</v>
      </c>
      <c r="I12" s="14">
        <v>0.5096</v>
      </c>
      <c r="J12" s="31">
        <v>7347</v>
      </c>
      <c r="K12" s="32">
        <v>1035.74</v>
      </c>
      <c r="L12" s="33">
        <v>43</v>
      </c>
      <c r="M12" s="34">
        <v>5196.96</v>
      </c>
      <c r="N12" s="35">
        <v>5193.72</v>
      </c>
      <c r="O12" s="36">
        <v>32</v>
      </c>
      <c r="P12" s="14">
        <v>0.0009</v>
      </c>
      <c r="Q12" s="36">
        <v>1026</v>
      </c>
      <c r="R12" s="37">
        <v>0.0277</v>
      </c>
      <c r="S12" s="36">
        <v>926</v>
      </c>
      <c r="T12" s="37">
        <v>0.025</v>
      </c>
      <c r="U12" s="30">
        <v>252</v>
      </c>
      <c r="V12" s="14">
        <v>0.0068</v>
      </c>
      <c r="W12" s="14">
        <v>0.0074</v>
      </c>
      <c r="X12" s="30">
        <v>10860</v>
      </c>
      <c r="Y12" s="14">
        <v>0.2927</v>
      </c>
      <c r="Z12" s="20">
        <v>35</v>
      </c>
      <c r="AA12" s="14">
        <v>0.001</v>
      </c>
    </row>
    <row r="13" spans="1:27">
      <c r="A13" s="27">
        <v>46183</v>
      </c>
      <c r="B13" s="28" t="s">
        <v>30</v>
      </c>
      <c r="C13" s="20">
        <v>654</v>
      </c>
      <c r="D13" s="29">
        <v>0.33</v>
      </c>
      <c r="E13" s="30">
        <v>16734</v>
      </c>
      <c r="F13" s="30">
        <v>2003</v>
      </c>
      <c r="G13" s="30">
        <v>30672</v>
      </c>
      <c r="H13" s="14">
        <v>0.0213</v>
      </c>
      <c r="I13" s="14">
        <v>0.5197</v>
      </c>
      <c r="J13" s="31">
        <v>6073</v>
      </c>
      <c r="K13" s="32">
        <v>782.29</v>
      </c>
      <c r="L13" s="33">
        <v>64</v>
      </c>
      <c r="M13" s="34">
        <v>4295.15</v>
      </c>
      <c r="N13" s="35">
        <v>4295.15</v>
      </c>
      <c r="O13" s="36">
        <v>16</v>
      </c>
      <c r="P13" s="14">
        <v>0.0005</v>
      </c>
      <c r="Q13" s="36">
        <v>252</v>
      </c>
      <c r="R13" s="14">
        <v>0.0082</v>
      </c>
      <c r="S13" s="36">
        <v>880</v>
      </c>
      <c r="T13" s="37">
        <v>0.0287</v>
      </c>
      <c r="U13" s="30">
        <v>342</v>
      </c>
      <c r="V13" s="37">
        <v>0.0111</v>
      </c>
      <c r="W13" s="14">
        <v>0.014</v>
      </c>
      <c r="X13" s="30">
        <v>8115</v>
      </c>
      <c r="Y13" s="14">
        <v>0.2646</v>
      </c>
      <c r="Z13" s="20">
        <v>48</v>
      </c>
      <c r="AA13" s="37">
        <v>0.0016</v>
      </c>
    </row>
    <row r="14" spans="1:27">
      <c r="A14" s="27">
        <v>46184</v>
      </c>
      <c r="B14" s="28" t="s">
        <v>31</v>
      </c>
      <c r="C14" s="20">
        <v>480</v>
      </c>
      <c r="D14" s="29">
        <v>0.25</v>
      </c>
      <c r="E14" s="38">
        <v>15855</v>
      </c>
      <c r="F14" s="30">
        <v>1925</v>
      </c>
      <c r="G14" s="30">
        <v>29208</v>
      </c>
      <c r="H14" s="14">
        <v>0.0164</v>
      </c>
      <c r="I14" s="14">
        <v>0.5709</v>
      </c>
      <c r="J14" s="31">
        <v>5691</v>
      </c>
      <c r="K14" s="32">
        <v>805.72</v>
      </c>
      <c r="L14" s="33">
        <v>64</v>
      </c>
      <c r="M14" s="34">
        <v>4089.06</v>
      </c>
      <c r="N14" s="35">
        <v>4089.06</v>
      </c>
      <c r="O14" s="36">
        <v>0</v>
      </c>
      <c r="P14" s="14">
        <v>0</v>
      </c>
      <c r="Q14" s="36">
        <v>416</v>
      </c>
      <c r="R14" s="37">
        <v>0.0142</v>
      </c>
      <c r="S14" s="36">
        <v>792</v>
      </c>
      <c r="T14" s="37">
        <v>0.0271</v>
      </c>
      <c r="U14" s="30">
        <v>277</v>
      </c>
      <c r="V14" s="37">
        <v>0.0095</v>
      </c>
      <c r="W14" s="14">
        <v>0.0104</v>
      </c>
      <c r="X14" s="30">
        <v>8419</v>
      </c>
      <c r="Y14" s="14">
        <v>0.2882</v>
      </c>
      <c r="Z14" s="20">
        <v>39</v>
      </c>
      <c r="AA14" s="37">
        <v>0.0013</v>
      </c>
    </row>
    <row r="15" spans="1:27">
      <c r="A15" s="27">
        <v>46185</v>
      </c>
      <c r="B15" s="28" t="s">
        <v>32</v>
      </c>
      <c r="C15" s="20">
        <v>325</v>
      </c>
      <c r="D15" s="29">
        <v>0.15</v>
      </c>
      <c r="E15" s="30">
        <v>19597</v>
      </c>
      <c r="F15" s="30">
        <v>2173</v>
      </c>
      <c r="G15" s="30">
        <v>36173</v>
      </c>
      <c r="H15" s="14">
        <v>0.009</v>
      </c>
      <c r="I15" s="14">
        <v>0.5209</v>
      </c>
      <c r="J15" s="31">
        <v>6335</v>
      </c>
      <c r="K15" s="32">
        <v>1301.61</v>
      </c>
      <c r="L15" s="33">
        <v>21</v>
      </c>
      <c r="M15" s="34">
        <v>5064.32</v>
      </c>
      <c r="N15" s="35">
        <v>5064.32</v>
      </c>
      <c r="O15" s="36">
        <v>32</v>
      </c>
      <c r="P15" s="14">
        <v>0.0009</v>
      </c>
      <c r="Q15" s="36">
        <v>333</v>
      </c>
      <c r="R15" s="14">
        <v>0.0092</v>
      </c>
      <c r="S15" s="36">
        <v>955</v>
      </c>
      <c r="T15" s="37">
        <v>0.0264</v>
      </c>
      <c r="U15" s="30">
        <v>138</v>
      </c>
      <c r="V15" s="14">
        <v>0.0038</v>
      </c>
      <c r="W15" s="14">
        <v>0.0028</v>
      </c>
      <c r="X15" s="30">
        <v>13614</v>
      </c>
      <c r="Y15" s="37">
        <v>0.3764</v>
      </c>
      <c r="Z15" s="20">
        <v>19</v>
      </c>
      <c r="AA15" s="14">
        <v>0.0005</v>
      </c>
    </row>
    <row r="16" spans="1:27">
      <c r="A16" s="27">
        <v>46186</v>
      </c>
      <c r="B16" s="28" t="s">
        <v>33</v>
      </c>
      <c r="C16" s="20">
        <v>480</v>
      </c>
      <c r="D16" s="29">
        <v>0.16</v>
      </c>
      <c r="E16" s="30">
        <v>35202</v>
      </c>
      <c r="F16" s="30">
        <v>3014</v>
      </c>
      <c r="G16" s="30">
        <v>43799</v>
      </c>
      <c r="H16" s="14">
        <v>0.011</v>
      </c>
      <c r="I16" s="14">
        <v>0.4681</v>
      </c>
      <c r="J16" s="31">
        <v>8295</v>
      </c>
      <c r="K16" s="32">
        <v>1427.78</v>
      </c>
      <c r="L16" s="33">
        <v>43</v>
      </c>
      <c r="M16" s="34">
        <v>6136.11</v>
      </c>
      <c r="N16" s="35">
        <v>6136.11</v>
      </c>
      <c r="O16" s="36">
        <v>0</v>
      </c>
      <c r="P16" s="14">
        <v>0</v>
      </c>
      <c r="Q16" s="36">
        <v>1425</v>
      </c>
      <c r="R16" s="37">
        <v>0.0325</v>
      </c>
      <c r="S16" s="36">
        <v>516</v>
      </c>
      <c r="T16" s="14">
        <v>0.0118</v>
      </c>
      <c r="U16" s="30">
        <v>234</v>
      </c>
      <c r="V16" s="14">
        <v>0.0053</v>
      </c>
      <c r="W16" s="14">
        <v>0.006</v>
      </c>
      <c r="X16" s="30">
        <v>15557</v>
      </c>
      <c r="Y16" s="14">
        <v>0.3552</v>
      </c>
      <c r="Z16" s="20">
        <v>33</v>
      </c>
      <c r="AA16" s="14">
        <v>0.0007</v>
      </c>
    </row>
    <row r="17" spans="1:27">
      <c r="A17" s="27">
        <v>46187</v>
      </c>
      <c r="B17" s="28" t="s">
        <v>34</v>
      </c>
      <c r="C17" s="20">
        <v>1335</v>
      </c>
      <c r="D17" s="29">
        <v>0.65</v>
      </c>
      <c r="E17" s="30">
        <v>18939</v>
      </c>
      <c r="F17" s="30">
        <v>2066</v>
      </c>
      <c r="G17" s="30">
        <v>32847</v>
      </c>
      <c r="H17" s="14">
        <v>0.0406</v>
      </c>
      <c r="I17" s="14">
        <v>0.6505</v>
      </c>
      <c r="J17" s="31">
        <v>5994</v>
      </c>
      <c r="K17" s="32">
        <v>1096.39</v>
      </c>
      <c r="L17" s="33">
        <v>43</v>
      </c>
      <c r="M17" s="34">
        <v>4598.61</v>
      </c>
      <c r="N17" s="35">
        <v>4598.61</v>
      </c>
      <c r="O17" s="36">
        <v>48</v>
      </c>
      <c r="P17" s="37">
        <v>0.0015</v>
      </c>
      <c r="Q17" s="36">
        <v>230</v>
      </c>
      <c r="R17" s="14">
        <v>0.007</v>
      </c>
      <c r="S17" s="36">
        <v>48</v>
      </c>
      <c r="T17" s="14">
        <v>0.0015</v>
      </c>
      <c r="U17" s="30">
        <v>103</v>
      </c>
      <c r="V17" s="14">
        <v>0.0031</v>
      </c>
      <c r="W17" s="14">
        <v>0.0034</v>
      </c>
      <c r="X17" s="30">
        <v>11394</v>
      </c>
      <c r="Y17" s="14">
        <v>0.3469</v>
      </c>
      <c r="Z17" s="20">
        <v>14</v>
      </c>
      <c r="AA17" s="14">
        <v>0.0004</v>
      </c>
    </row>
    <row r="18" spans="1:27">
      <c r="A18" s="27">
        <v>46188</v>
      </c>
      <c r="B18" s="28" t="s">
        <v>28</v>
      </c>
      <c r="C18" s="20">
        <v>586</v>
      </c>
      <c r="D18" s="29">
        <v>0.29</v>
      </c>
      <c r="E18" s="30">
        <v>18221</v>
      </c>
      <c r="F18" s="30">
        <v>2008</v>
      </c>
      <c r="G18" s="30">
        <v>30797</v>
      </c>
      <c r="H18" s="14">
        <v>0.019</v>
      </c>
      <c r="I18" s="14">
        <v>0.5349</v>
      </c>
      <c r="J18" s="31">
        <v>5931</v>
      </c>
      <c r="K18" s="32">
        <v>867.16</v>
      </c>
      <c r="L18" s="33">
        <v>102</v>
      </c>
      <c r="M18" s="34">
        <v>4312.4</v>
      </c>
      <c r="N18" s="35">
        <v>4308.92</v>
      </c>
      <c r="O18" s="36">
        <v>36</v>
      </c>
      <c r="P18" s="37">
        <v>0.0012</v>
      </c>
      <c r="Q18" s="36">
        <v>329</v>
      </c>
      <c r="R18" s="14">
        <v>0.0107</v>
      </c>
      <c r="S18" s="36">
        <v>808</v>
      </c>
      <c r="T18" s="37">
        <v>0.0262</v>
      </c>
      <c r="U18" s="30">
        <v>381</v>
      </c>
      <c r="V18" s="37">
        <v>0.0124</v>
      </c>
      <c r="W18" s="14">
        <v>0.0105</v>
      </c>
      <c r="X18" s="30">
        <v>9098</v>
      </c>
      <c r="Y18" s="14">
        <v>0.2954</v>
      </c>
      <c r="Z18" s="20">
        <v>53</v>
      </c>
      <c r="AA18" s="37">
        <v>0.0017</v>
      </c>
    </row>
    <row r="19" spans="1:27">
      <c r="A19" s="27">
        <v>46189</v>
      </c>
      <c r="B19" s="28" t="s">
        <v>29</v>
      </c>
      <c r="C19" s="39">
        <v>-120</v>
      </c>
      <c r="D19" s="40">
        <v>-0.06</v>
      </c>
      <c r="E19" s="30">
        <v>19702</v>
      </c>
      <c r="F19" s="30">
        <v>2087</v>
      </c>
      <c r="G19" s="30">
        <v>32649</v>
      </c>
      <c r="H19" s="14">
        <v>-0.0037</v>
      </c>
      <c r="I19" s="14">
        <v>0.5462</v>
      </c>
      <c r="J19" s="31">
        <v>6487</v>
      </c>
      <c r="K19" s="32">
        <v>815.72</v>
      </c>
      <c r="L19" s="33">
        <v>43</v>
      </c>
      <c r="M19" s="34">
        <v>4572.13</v>
      </c>
      <c r="N19" s="35">
        <v>4572.13</v>
      </c>
      <c r="O19" s="36">
        <v>36</v>
      </c>
      <c r="P19" s="37">
        <v>0.0011</v>
      </c>
      <c r="Q19" s="36">
        <v>1097</v>
      </c>
      <c r="R19" s="37">
        <v>0.0336</v>
      </c>
      <c r="S19" s="36">
        <v>886</v>
      </c>
      <c r="T19" s="37">
        <v>0.0271</v>
      </c>
      <c r="U19" s="30">
        <v>43</v>
      </c>
      <c r="V19" s="14">
        <v>0.0013</v>
      </c>
      <c r="W19" s="42">
        <v>0.0019</v>
      </c>
      <c r="X19" s="30">
        <v>8595</v>
      </c>
      <c r="Y19" s="14">
        <v>0.2632</v>
      </c>
      <c r="Z19" s="20">
        <v>6</v>
      </c>
      <c r="AA19" s="14">
        <v>0.0002</v>
      </c>
    </row>
    <row r="20" spans="1:27">
      <c r="A20" s="27">
        <v>46190</v>
      </c>
      <c r="B20" s="28" t="s">
        <v>30</v>
      </c>
      <c r="C20" s="20">
        <v>878</v>
      </c>
      <c r="D20" s="29">
        <v>0.39</v>
      </c>
      <c r="E20" s="30">
        <v>22560</v>
      </c>
      <c r="F20" s="30">
        <v>2277</v>
      </c>
      <c r="G20" s="30">
        <v>34398</v>
      </c>
      <c r="H20" s="14">
        <v>0.0255</v>
      </c>
      <c r="I20" s="14">
        <v>0.4401</v>
      </c>
      <c r="J20" s="31">
        <v>6864</v>
      </c>
      <c r="K20" s="32">
        <v>882.93</v>
      </c>
      <c r="L20" s="33">
        <v>51</v>
      </c>
      <c r="M20" s="34">
        <v>4823.25</v>
      </c>
      <c r="N20" s="35">
        <v>4815.11</v>
      </c>
      <c r="O20" s="36">
        <v>0</v>
      </c>
      <c r="P20" s="14">
        <v>0</v>
      </c>
      <c r="Q20" s="36">
        <v>280</v>
      </c>
      <c r="R20" s="14">
        <v>0.0081</v>
      </c>
      <c r="S20" s="36">
        <v>886</v>
      </c>
      <c r="T20" s="37">
        <v>0.0258</v>
      </c>
      <c r="U20" s="30">
        <v>151</v>
      </c>
      <c r="V20" s="14">
        <v>0.0044</v>
      </c>
      <c r="W20" s="14">
        <v>0.0044</v>
      </c>
      <c r="X20" s="30">
        <v>9341</v>
      </c>
      <c r="Y20" s="14">
        <v>0.2716</v>
      </c>
      <c r="Z20" s="20">
        <v>21</v>
      </c>
      <c r="AA20" s="14">
        <v>0.0006</v>
      </c>
    </row>
    <row r="21" spans="1:27">
      <c r="A21" s="27">
        <v>46191</v>
      </c>
      <c r="B21" s="28" t="s">
        <v>31</v>
      </c>
      <c r="C21" s="39">
        <v>-514</v>
      </c>
      <c r="D21" s="40">
        <v>-0.14</v>
      </c>
      <c r="E21" s="30">
        <v>49874</v>
      </c>
      <c r="F21" s="30">
        <v>3668</v>
      </c>
      <c r="G21" s="30">
        <v>66694</v>
      </c>
      <c r="H21" s="14">
        <v>-0.0077</v>
      </c>
      <c r="I21" s="14"/>
      <c r="J21" s="31">
        <v>7225</v>
      </c>
      <c r="K21" s="32">
        <v>4708.08</v>
      </c>
      <c r="L21" s="33">
        <v>21</v>
      </c>
      <c r="M21" s="34">
        <v>9342.24</v>
      </c>
      <c r="N21" s="35">
        <v>9326.86</v>
      </c>
      <c r="O21" s="36">
        <v>36</v>
      </c>
      <c r="P21" s="14">
        <v>0.0005</v>
      </c>
      <c r="Q21" s="36">
        <v>460</v>
      </c>
      <c r="R21" s="14">
        <v>0.0069</v>
      </c>
      <c r="S21" s="36">
        <v>942</v>
      </c>
      <c r="T21" s="14">
        <v>0.0141</v>
      </c>
      <c r="U21" s="30">
        <v>0</v>
      </c>
      <c r="V21" s="14">
        <v>0</v>
      </c>
      <c r="W21" s="14" t="e">
        <v>#VALUE!</v>
      </c>
      <c r="X21" s="30">
        <v>51655</v>
      </c>
      <c r="Y21" s="37">
        <v>0.7745</v>
      </c>
      <c r="Z21" s="20">
        <v>0</v>
      </c>
      <c r="AA21" s="14">
        <v>0</v>
      </c>
    </row>
    <row r="22" spans="1:27">
      <c r="A22" s="27">
        <v>46192</v>
      </c>
      <c r="B22" s="28" t="s">
        <v>32</v>
      </c>
      <c r="C22" s="39">
        <v>-1059</v>
      </c>
      <c r="D22" s="40">
        <v>-0.21</v>
      </c>
      <c r="E22" s="41">
        <v>90671</v>
      </c>
      <c r="F22" s="41">
        <v>4962</v>
      </c>
      <c r="G22" s="30">
        <v>99191</v>
      </c>
      <c r="H22" s="14">
        <v>-0.0107</v>
      </c>
      <c r="I22" s="14"/>
      <c r="J22" s="31">
        <v>8691</v>
      </c>
      <c r="K22" s="32">
        <v>7856.74</v>
      </c>
      <c r="L22" s="33">
        <v>21</v>
      </c>
      <c r="M22" s="34">
        <v>13911.06</v>
      </c>
      <c r="N22" s="35">
        <v>13906.53</v>
      </c>
      <c r="O22" s="36">
        <v>16</v>
      </c>
      <c r="P22" s="14">
        <v>0.0002</v>
      </c>
      <c r="Q22" s="36">
        <v>345</v>
      </c>
      <c r="R22" s="14">
        <v>0.0035</v>
      </c>
      <c r="S22" s="36">
        <v>913</v>
      </c>
      <c r="T22" s="14">
        <v>0.0092</v>
      </c>
      <c r="U22" s="30">
        <v>0</v>
      </c>
      <c r="V22" s="14">
        <v>0</v>
      </c>
      <c r="W22" s="14" t="e">
        <v>#VALUE!</v>
      </c>
      <c r="X22" s="30">
        <v>85622</v>
      </c>
      <c r="Y22" s="37">
        <v>0.8632</v>
      </c>
      <c r="Z22" s="20">
        <v>0</v>
      </c>
      <c r="AA22" s="14">
        <v>0</v>
      </c>
    </row>
    <row r="23" spans="1:27">
      <c r="A23" s="27">
        <v>46193</v>
      </c>
      <c r="B23" s="28" t="s">
        <v>33</v>
      </c>
      <c r="C23" s="20">
        <v>696</v>
      </c>
      <c r="D23" s="29">
        <v>0.17</v>
      </c>
      <c r="E23" s="30">
        <v>43492</v>
      </c>
      <c r="F23" s="30">
        <v>4013</v>
      </c>
      <c r="G23" s="30">
        <v>68063</v>
      </c>
      <c r="H23" s="14">
        <v>0.0102</v>
      </c>
      <c r="I23" s="14"/>
      <c r="J23" s="31">
        <v>8923</v>
      </c>
      <c r="K23" s="32">
        <v>4123.49</v>
      </c>
      <c r="L23" s="33">
        <v>0</v>
      </c>
      <c r="M23" s="34">
        <v>9545.14</v>
      </c>
      <c r="N23" s="35">
        <v>9542.62</v>
      </c>
      <c r="O23" s="36">
        <v>106</v>
      </c>
      <c r="P23" s="37">
        <v>0.0016</v>
      </c>
      <c r="Q23" s="36">
        <v>528</v>
      </c>
      <c r="R23" s="14">
        <v>0.0078</v>
      </c>
      <c r="S23" s="36">
        <v>406</v>
      </c>
      <c r="T23" s="14">
        <v>0.006</v>
      </c>
      <c r="U23" s="30">
        <v>0</v>
      </c>
      <c r="V23" s="14">
        <v>0</v>
      </c>
      <c r="W23" s="14" t="e">
        <v>#VALUE!</v>
      </c>
      <c r="X23" s="30">
        <v>45179</v>
      </c>
      <c r="Y23" s="37">
        <v>0.6638</v>
      </c>
      <c r="Z23" s="20">
        <v>0</v>
      </c>
      <c r="AA23" s="14">
        <v>0</v>
      </c>
    </row>
    <row r="24" spans="1:27">
      <c r="A24" s="27">
        <v>46194</v>
      </c>
      <c r="B24" s="28" t="s">
        <v>34</v>
      </c>
      <c r="C24" s="20">
        <v>503</v>
      </c>
      <c r="D24" s="29">
        <v>0.15</v>
      </c>
      <c r="E24" s="30">
        <v>45008</v>
      </c>
      <c r="F24" s="30">
        <v>3322</v>
      </c>
      <c r="G24" s="30">
        <v>60699</v>
      </c>
      <c r="H24" s="14">
        <v>0.0083</v>
      </c>
      <c r="I24" s="14"/>
      <c r="J24" s="31">
        <v>9346</v>
      </c>
      <c r="K24" s="32">
        <v>2667.7</v>
      </c>
      <c r="L24" s="33">
        <v>0</v>
      </c>
      <c r="M24" s="34">
        <v>8491.09</v>
      </c>
      <c r="N24" s="35">
        <v>8491.09</v>
      </c>
      <c r="O24" s="36">
        <v>16</v>
      </c>
      <c r="P24" s="14">
        <v>0.0003</v>
      </c>
      <c r="Q24" s="36">
        <v>1401</v>
      </c>
      <c r="R24" s="37">
        <v>0.0231</v>
      </c>
      <c r="S24" s="36">
        <v>71</v>
      </c>
      <c r="T24" s="14">
        <v>0.0012</v>
      </c>
      <c r="U24" s="30">
        <v>0</v>
      </c>
      <c r="V24" s="14">
        <v>0</v>
      </c>
      <c r="W24" s="14" t="e">
        <v>#VALUE!</v>
      </c>
      <c r="X24" s="30">
        <v>26867</v>
      </c>
      <c r="Y24" s="37">
        <v>0.4426</v>
      </c>
      <c r="Z24" s="20">
        <v>0</v>
      </c>
      <c r="AA24" s="14">
        <v>0</v>
      </c>
    </row>
    <row r="25" spans="1:27">
      <c r="A25" s="27">
        <v>46195</v>
      </c>
      <c r="B25" s="28" t="s">
        <v>28</v>
      </c>
      <c r="C25" s="20">
        <v>1227</v>
      </c>
      <c r="D25" s="29">
        <v>0.44</v>
      </c>
      <c r="E25" s="30">
        <v>25780</v>
      </c>
      <c r="F25" s="30">
        <v>2759</v>
      </c>
      <c r="G25" s="30">
        <v>43708</v>
      </c>
      <c r="H25" s="14">
        <v>0.0281</v>
      </c>
      <c r="I25" s="14">
        <v>0.4759</v>
      </c>
      <c r="J25" s="31">
        <v>8156</v>
      </c>
      <c r="K25" s="32">
        <v>1376.76</v>
      </c>
      <c r="L25" s="33">
        <v>0</v>
      </c>
      <c r="M25" s="34">
        <v>6126.23</v>
      </c>
      <c r="N25" s="35">
        <v>6101.3</v>
      </c>
      <c r="O25" s="36">
        <v>16</v>
      </c>
      <c r="P25" s="14">
        <v>0.0004</v>
      </c>
      <c r="Q25" s="36">
        <v>168</v>
      </c>
      <c r="R25" s="14">
        <v>0.0038</v>
      </c>
      <c r="S25" s="36">
        <v>837</v>
      </c>
      <c r="T25" s="14">
        <v>0.0191</v>
      </c>
      <c r="U25" s="30">
        <v>0</v>
      </c>
      <c r="V25" s="14">
        <v>0</v>
      </c>
      <c r="W25" s="14" t="e">
        <v>#VALUE!</v>
      </c>
      <c r="X25" s="30">
        <v>14770</v>
      </c>
      <c r="Y25" s="14">
        <v>0.3379</v>
      </c>
      <c r="Z25" s="20">
        <v>0</v>
      </c>
      <c r="AA25" s="14">
        <v>0</v>
      </c>
    </row>
    <row r="26" spans="1:27">
      <c r="A26" s="27">
        <v>46196</v>
      </c>
      <c r="B26" s="28" t="s">
        <v>29</v>
      </c>
      <c r="C26" s="20">
        <v>1236</v>
      </c>
      <c r="D26" s="29">
        <v>0.48</v>
      </c>
      <c r="E26" s="30">
        <v>22874</v>
      </c>
      <c r="F26" s="30">
        <v>2584</v>
      </c>
      <c r="G26" s="30">
        <v>38826</v>
      </c>
      <c r="H26" s="14">
        <v>0.0318</v>
      </c>
      <c r="I26" s="14">
        <v>0.4911</v>
      </c>
      <c r="J26" s="31">
        <v>7933</v>
      </c>
      <c r="K26" s="32">
        <v>897.77</v>
      </c>
      <c r="L26" s="33">
        <v>21</v>
      </c>
      <c r="M26" s="34">
        <v>5439.1</v>
      </c>
      <c r="N26" s="35">
        <v>5439.1</v>
      </c>
      <c r="O26" s="36">
        <v>82</v>
      </c>
      <c r="P26" s="37">
        <v>0.0021</v>
      </c>
      <c r="Q26" s="36">
        <v>236</v>
      </c>
      <c r="R26" s="14">
        <v>0.0061</v>
      </c>
      <c r="S26" s="36">
        <v>807</v>
      </c>
      <c r="T26" s="37">
        <v>0.0208</v>
      </c>
      <c r="U26" s="30">
        <v>180</v>
      </c>
      <c r="V26" s="14">
        <v>0.0046</v>
      </c>
      <c r="W26" s="14">
        <v>0.0035</v>
      </c>
      <c r="X26" s="30">
        <v>9410</v>
      </c>
      <c r="Y26" s="14">
        <v>0.2424</v>
      </c>
      <c r="Z26" s="20">
        <v>25</v>
      </c>
      <c r="AA26" s="14">
        <v>0.0006</v>
      </c>
    </row>
    <row r="27" spans="1:27">
      <c r="A27" s="27">
        <v>46197</v>
      </c>
      <c r="B27" s="28" t="s">
        <v>30</v>
      </c>
      <c r="C27" s="20">
        <v>668</v>
      </c>
      <c r="D27" s="29">
        <v>0.29</v>
      </c>
      <c r="E27" s="30">
        <v>18849</v>
      </c>
      <c r="F27" s="30">
        <v>2320</v>
      </c>
      <c r="G27" s="30">
        <v>35724</v>
      </c>
      <c r="H27" s="14">
        <v>0.0187</v>
      </c>
      <c r="I27" s="14">
        <v>0.5405</v>
      </c>
      <c r="J27" s="31">
        <v>7242</v>
      </c>
      <c r="K27" s="32">
        <v>808.03</v>
      </c>
      <c r="L27" s="33">
        <v>43</v>
      </c>
      <c r="M27" s="34">
        <v>5002.07</v>
      </c>
      <c r="N27" s="35">
        <v>4985.08</v>
      </c>
      <c r="O27" s="36">
        <v>52</v>
      </c>
      <c r="P27" s="37">
        <v>0.0015</v>
      </c>
      <c r="Q27" s="36">
        <v>516</v>
      </c>
      <c r="R27" s="37">
        <v>0.0144</v>
      </c>
      <c r="S27" s="36">
        <v>900</v>
      </c>
      <c r="T27" s="37">
        <v>0.0252</v>
      </c>
      <c r="U27" s="30">
        <v>285</v>
      </c>
      <c r="V27" s="14">
        <v>0.008</v>
      </c>
      <c r="W27" s="14">
        <v>0.0103</v>
      </c>
      <c r="X27" s="30">
        <v>8711</v>
      </c>
      <c r="Y27" s="14">
        <v>0.2439</v>
      </c>
      <c r="Z27" s="20">
        <v>40</v>
      </c>
      <c r="AA27" s="14">
        <v>0.0011</v>
      </c>
    </row>
    <row r="28" spans="1:27">
      <c r="A28" s="27">
        <v>46198</v>
      </c>
      <c r="B28" s="28" t="s">
        <v>31</v>
      </c>
      <c r="C28" s="20">
        <v>1043</v>
      </c>
      <c r="D28" s="29">
        <v>0.38</v>
      </c>
      <c r="E28" s="30">
        <v>26078</v>
      </c>
      <c r="F28" s="30">
        <v>2727</v>
      </c>
      <c r="G28" s="30">
        <v>41421</v>
      </c>
      <c r="H28" s="14">
        <v>0.0252</v>
      </c>
      <c r="I28" s="14">
        <v>0.4994</v>
      </c>
      <c r="J28" s="31">
        <v>8197</v>
      </c>
      <c r="K28" s="32">
        <v>1031.9</v>
      </c>
      <c r="L28" s="33">
        <v>86</v>
      </c>
      <c r="M28" s="34">
        <v>5800.24</v>
      </c>
      <c r="N28" s="35">
        <v>5795.89</v>
      </c>
      <c r="O28" s="36">
        <v>104</v>
      </c>
      <c r="P28" s="37">
        <v>0.0025</v>
      </c>
      <c r="Q28" s="36">
        <v>346</v>
      </c>
      <c r="R28" s="14">
        <v>0.0083</v>
      </c>
      <c r="S28" s="36">
        <v>908</v>
      </c>
      <c r="T28" s="37">
        <v>0.0219</v>
      </c>
      <c r="U28" s="30">
        <v>821</v>
      </c>
      <c r="V28" s="37">
        <v>0.0198</v>
      </c>
      <c r="W28" s="14">
        <v>0.0235</v>
      </c>
      <c r="X28" s="30">
        <v>11056</v>
      </c>
      <c r="Y28" s="14">
        <v>0.2669</v>
      </c>
      <c r="Z28" s="20">
        <v>115</v>
      </c>
      <c r="AA28" s="37">
        <v>0.0028</v>
      </c>
    </row>
    <row r="29" spans="1:27">
      <c r="A29" s="27">
        <v>46199</v>
      </c>
      <c r="B29" s="28" t="s">
        <v>32</v>
      </c>
      <c r="C29" s="20">
        <v>645</v>
      </c>
      <c r="D29" s="29">
        <v>0.24</v>
      </c>
      <c r="E29" s="30">
        <v>25352</v>
      </c>
      <c r="F29" s="30">
        <v>2671</v>
      </c>
      <c r="G29" s="30">
        <v>44542</v>
      </c>
      <c r="H29" s="14">
        <v>0.0145</v>
      </c>
      <c r="I29" s="14">
        <v>0.5432</v>
      </c>
      <c r="J29" s="31">
        <v>7704</v>
      </c>
      <c r="K29" s="32">
        <v>1644.32</v>
      </c>
      <c r="L29" s="33">
        <v>107</v>
      </c>
      <c r="M29" s="34">
        <v>6256.15</v>
      </c>
      <c r="N29" s="35">
        <v>6242.27</v>
      </c>
      <c r="O29" s="36">
        <v>16</v>
      </c>
      <c r="P29" s="14">
        <v>0.0004</v>
      </c>
      <c r="Q29" s="36">
        <v>451</v>
      </c>
      <c r="R29" s="14">
        <v>0.0101</v>
      </c>
      <c r="S29" s="36">
        <v>927</v>
      </c>
      <c r="T29" s="37">
        <v>0.0208</v>
      </c>
      <c r="U29" s="30">
        <v>770</v>
      </c>
      <c r="V29" s="37">
        <v>0.0173</v>
      </c>
      <c r="W29" s="14">
        <v>0.0198</v>
      </c>
      <c r="X29" s="30">
        <v>16834</v>
      </c>
      <c r="Y29" s="37">
        <v>0.3779</v>
      </c>
      <c r="Z29" s="20">
        <v>108</v>
      </c>
      <c r="AA29" s="37">
        <v>0.0024</v>
      </c>
    </row>
    <row r="30" spans="1:27">
      <c r="A30" s="27">
        <v>46200</v>
      </c>
      <c r="B30" s="28" t="s">
        <v>33</v>
      </c>
      <c r="C30" s="20">
        <v>606</v>
      </c>
      <c r="D30" s="29">
        <v>0.26</v>
      </c>
      <c r="E30" s="30">
        <v>22191</v>
      </c>
      <c r="F30" s="30">
        <v>2375</v>
      </c>
      <c r="G30" s="30">
        <v>38750</v>
      </c>
      <c r="H30" s="14">
        <v>0.0156</v>
      </c>
      <c r="I30" s="14">
        <v>0.5587</v>
      </c>
      <c r="J30" s="31">
        <v>7240</v>
      </c>
      <c r="K30" s="32">
        <v>1104.12</v>
      </c>
      <c r="L30" s="33">
        <v>107</v>
      </c>
      <c r="M30" s="34">
        <v>5434.1</v>
      </c>
      <c r="N30" s="35">
        <v>5422.21</v>
      </c>
      <c r="O30" s="36">
        <v>48</v>
      </c>
      <c r="P30" s="37">
        <v>0.0012</v>
      </c>
      <c r="Q30" s="36">
        <v>449</v>
      </c>
      <c r="R30" s="14">
        <v>0.0116</v>
      </c>
      <c r="S30" s="36">
        <v>900</v>
      </c>
      <c r="T30" s="37">
        <v>0.0232</v>
      </c>
      <c r="U30" s="30">
        <v>727</v>
      </c>
      <c r="V30" s="37">
        <v>0.0187</v>
      </c>
      <c r="W30" s="14">
        <v>0.0173</v>
      </c>
      <c r="X30" s="30">
        <v>12208</v>
      </c>
      <c r="Y30" s="14">
        <v>0.315</v>
      </c>
      <c r="Z30" s="20">
        <v>102</v>
      </c>
      <c r="AA30" s="37">
        <v>0.0026</v>
      </c>
    </row>
    <row r="31" spans="1:27">
      <c r="A31" s="27">
        <v>46201</v>
      </c>
      <c r="B31" s="28" t="s">
        <v>34</v>
      </c>
      <c r="C31" s="20">
        <v>414</v>
      </c>
      <c r="D31" s="29">
        <v>0.19</v>
      </c>
      <c r="E31" s="30">
        <v>19155</v>
      </c>
      <c r="F31" s="30">
        <v>2228</v>
      </c>
      <c r="G31" s="30">
        <v>37021</v>
      </c>
      <c r="H31" s="14">
        <v>0.0112</v>
      </c>
      <c r="I31" s="14">
        <v>0.5723</v>
      </c>
      <c r="J31" s="31">
        <v>6770</v>
      </c>
      <c r="K31" s="32">
        <v>1120.75</v>
      </c>
      <c r="L31" s="33">
        <v>107</v>
      </c>
      <c r="M31" s="34">
        <v>5185.7</v>
      </c>
      <c r="N31" s="35">
        <v>5174.46</v>
      </c>
      <c r="O31" s="36">
        <v>50</v>
      </c>
      <c r="P31" s="37">
        <v>0.0014</v>
      </c>
      <c r="Q31" s="36">
        <v>485</v>
      </c>
      <c r="R31" s="14">
        <v>0.0131</v>
      </c>
      <c r="S31" s="36">
        <v>898</v>
      </c>
      <c r="T31" s="37">
        <v>0.0242</v>
      </c>
      <c r="U31" s="30">
        <v>655</v>
      </c>
      <c r="V31" s="37">
        <v>0.0177</v>
      </c>
      <c r="W31" s="14">
        <v>0.0206</v>
      </c>
      <c r="X31" s="30">
        <v>11392</v>
      </c>
      <c r="Y31" s="14">
        <v>0.3077</v>
      </c>
      <c r="Z31" s="20">
        <v>92</v>
      </c>
      <c r="AA31" s="37">
        <v>0.0025</v>
      </c>
    </row>
    <row r="32" spans="1:27">
      <c r="A32" s="27">
        <v>46202</v>
      </c>
      <c r="B32" s="28" t="s">
        <v>28</v>
      </c>
      <c r="C32" s="20">
        <v>536</v>
      </c>
      <c r="D32" s="29">
        <v>0.23</v>
      </c>
      <c r="E32" s="30">
        <v>22276</v>
      </c>
      <c r="F32" s="30">
        <v>2307</v>
      </c>
      <c r="G32" s="30">
        <v>33956</v>
      </c>
      <c r="H32" s="14">
        <v>0.0158</v>
      </c>
      <c r="I32" s="14">
        <v>0.5002</v>
      </c>
      <c r="J32" s="31">
        <v>6774</v>
      </c>
      <c r="K32" s="32">
        <v>847.43</v>
      </c>
      <c r="L32" s="33">
        <v>107</v>
      </c>
      <c r="M32" s="34">
        <v>4756.17</v>
      </c>
      <c r="N32" s="35">
        <v>4736.53</v>
      </c>
      <c r="O32" s="36">
        <v>102</v>
      </c>
      <c r="P32" s="37">
        <v>0.003</v>
      </c>
      <c r="Q32" s="36">
        <v>475</v>
      </c>
      <c r="R32" s="37">
        <v>0.014</v>
      </c>
      <c r="S32" s="36">
        <v>932</v>
      </c>
      <c r="T32" s="37">
        <v>0.0274</v>
      </c>
      <c r="U32" s="30">
        <v>702</v>
      </c>
      <c r="V32" s="37">
        <v>0.0207</v>
      </c>
      <c r="W32" s="14">
        <v>0.0199</v>
      </c>
      <c r="X32" s="30">
        <v>8721</v>
      </c>
      <c r="Y32" s="14">
        <v>0.2568</v>
      </c>
      <c r="Z32" s="20">
        <v>98</v>
      </c>
      <c r="AA32" s="37">
        <v>0.0029</v>
      </c>
    </row>
    <row r="33" spans="1:27">
      <c r="A33" s="27">
        <v>46203</v>
      </c>
      <c r="B33" s="28" t="s">
        <v>29</v>
      </c>
      <c r="C33" s="20">
        <v>1036</v>
      </c>
      <c r="D33" s="29">
        <v>0.41</v>
      </c>
      <c r="E33" s="30">
        <v>23845</v>
      </c>
      <c r="F33" s="30">
        <v>2549</v>
      </c>
      <c r="G33" s="30">
        <v>38893</v>
      </c>
      <c r="H33" s="14">
        <v>0.0266</v>
      </c>
      <c r="I33" s="14">
        <v>0.4943</v>
      </c>
      <c r="J33" s="31">
        <v>7731</v>
      </c>
      <c r="K33" s="32">
        <v>939.3</v>
      </c>
      <c r="L33" s="33">
        <v>107</v>
      </c>
      <c r="M33" s="34">
        <v>5447.28</v>
      </c>
      <c r="N33" s="35">
        <v>5404.92</v>
      </c>
      <c r="O33" s="36">
        <v>0</v>
      </c>
      <c r="P33" s="14">
        <v>0</v>
      </c>
      <c r="Q33" s="36">
        <v>340</v>
      </c>
      <c r="R33" s="14">
        <v>0.0088</v>
      </c>
      <c r="S33" s="36">
        <v>910</v>
      </c>
      <c r="T33" s="37">
        <v>0.0234</v>
      </c>
      <c r="U33" s="30">
        <v>770</v>
      </c>
      <c r="V33" s="37">
        <v>0.0198</v>
      </c>
      <c r="W33" s="14">
        <v>0.022</v>
      </c>
      <c r="X33" s="30">
        <v>9935</v>
      </c>
      <c r="Y33" s="14">
        <v>0.2554</v>
      </c>
      <c r="Z33" s="20">
        <v>108</v>
      </c>
      <c r="AA33" s="37">
        <v>0.0028</v>
      </c>
    </row>
  </sheetData>
  <sheetProtection formatCells="0" formatColumns="0" formatRows="0" insertRows="0" insertColumns="0" insertHyperlinks="0" deleteColumns="0" deleteRows="0" sort="0" autoFilter="0" pivotTables="0"/>
  <mergeCells count="11">
    <mergeCell ref="A3:B3"/>
    <mergeCell ref="D2:D3"/>
    <mergeCell ref="H2:H3"/>
    <mergeCell ref="I2:I3"/>
    <mergeCell ref="P2:P3"/>
    <mergeCell ref="R2:R3"/>
    <mergeCell ref="T2:T3"/>
    <mergeCell ref="V2:V3"/>
    <mergeCell ref="W2:W3"/>
    <mergeCell ref="Y2:Y3"/>
    <mergeCell ref="AA2:AA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11.3307692307692" defaultRowHeight="14.5"/>
  <cols>
    <col min="1" max="16384" width="11.3307692307692" style="1"/>
  </cols>
  <sheetData>
    <row r="1" ht="16.5" spans="1:27">
      <c r="A1" s="2" t="s">
        <v>40</v>
      </c>
      <c r="B1" s="3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10" t="s">
        <v>13</v>
      </c>
      <c r="O1" s="8" t="s">
        <v>14</v>
      </c>
      <c r="P1" s="11" t="s">
        <v>15</v>
      </c>
      <c r="Q1" s="8" t="s">
        <v>16</v>
      </c>
      <c r="R1" s="11" t="s">
        <v>17</v>
      </c>
      <c r="S1" s="8" t="s">
        <v>18</v>
      </c>
      <c r="T1" s="11" t="s">
        <v>19</v>
      </c>
      <c r="U1" s="5" t="s">
        <v>20</v>
      </c>
      <c r="V1" s="10" t="s">
        <v>21</v>
      </c>
      <c r="W1" s="6" t="s">
        <v>22</v>
      </c>
      <c r="X1" s="10" t="s">
        <v>23</v>
      </c>
      <c r="Y1" s="10" t="s">
        <v>24</v>
      </c>
      <c r="Z1" s="5" t="s">
        <v>25</v>
      </c>
      <c r="AA1" s="11" t="s">
        <v>26</v>
      </c>
    </row>
    <row r="2" ht="19.5" customHeight="1" spans="1:27">
      <c r="A2" s="12">
        <v>47769</v>
      </c>
      <c r="B2" s="13">
        <v>62000</v>
      </c>
      <c r="C2" s="14">
        <v>0.7705</v>
      </c>
      <c r="D2" s="15">
        <v>0.27</v>
      </c>
      <c r="E2" s="16">
        <f t="shared" ref="E2:G2" si="0">SUM(E4:E33)</f>
        <v>1660410</v>
      </c>
      <c r="F2" s="16">
        <f t="shared" si="0"/>
        <v>175631</v>
      </c>
      <c r="G2" s="16">
        <f t="shared" si="0"/>
        <v>2586795</v>
      </c>
      <c r="H2" s="17">
        <f>AVERAGE(H4:H33)</f>
        <v>0.02057</v>
      </c>
      <c r="I2" s="17">
        <f>AVERAGE(I4:I33)</f>
        <v>0.576569230769231</v>
      </c>
      <c r="J2" s="18">
        <f t="shared" ref="J2:O2" si="1">SUM(J4:J33)</f>
        <v>403808</v>
      </c>
      <c r="K2" s="18">
        <f t="shared" si="1"/>
        <v>71815.54</v>
      </c>
      <c r="L2" s="18">
        <f t="shared" si="1"/>
        <v>71154</v>
      </c>
      <c r="M2" s="19">
        <f t="shared" si="1"/>
        <v>362482</v>
      </c>
      <c r="N2" s="19">
        <f t="shared" si="1"/>
        <v>362061.11</v>
      </c>
      <c r="O2" s="19">
        <f t="shared" si="1"/>
        <v>5484</v>
      </c>
      <c r="P2" s="17">
        <f t="shared" ref="P2:T2" si="2">AVERAGE(P4:P33)</f>
        <v>0.00262</v>
      </c>
      <c r="Q2" s="20">
        <f t="shared" ref="Q2:U2" si="3">SUM(Q4:Q33)</f>
        <v>49544</v>
      </c>
      <c r="R2" s="17">
        <f t="shared" si="2"/>
        <v>0.0200833333333333</v>
      </c>
      <c r="S2" s="20">
        <f t="shared" si="3"/>
        <v>25895</v>
      </c>
      <c r="T2" s="17">
        <f t="shared" si="2"/>
        <v>0.0107766666666667</v>
      </c>
      <c r="U2" s="16">
        <f t="shared" si="3"/>
        <v>629412</v>
      </c>
      <c r="V2" s="17">
        <f t="shared" ref="V2:Y2" si="4">AVERAGE(V4:V33)</f>
        <v>0.26837</v>
      </c>
      <c r="W2" s="21">
        <f t="shared" si="4"/>
        <v>0.271016666666667</v>
      </c>
      <c r="X2" s="16">
        <f>SUM(X4:X33)</f>
        <v>787662</v>
      </c>
      <c r="Y2" s="17">
        <f t="shared" si="4"/>
        <v>0.250636666666667</v>
      </c>
      <c r="Z2" s="20">
        <f>SUM(Z4:Z33)</f>
        <v>88117</v>
      </c>
      <c r="AA2" s="17">
        <f>AVERAGE(AA4:AA33)</f>
        <v>0.03757</v>
      </c>
    </row>
    <row r="3" ht="19.5" customHeight="1" spans="1:27">
      <c r="A3" s="22" t="s">
        <v>27</v>
      </c>
      <c r="B3" s="22"/>
      <c r="C3" s="23">
        <v>1638</v>
      </c>
      <c r="D3" s="15"/>
      <c r="E3" s="24">
        <f t="shared" ref="E3:G3" si="5">AVERAGE(E4:E33)</f>
        <v>55347</v>
      </c>
      <c r="F3" s="24">
        <f t="shared" si="5"/>
        <v>5854.36666666667</v>
      </c>
      <c r="G3" s="24">
        <f t="shared" si="5"/>
        <v>86226.5</v>
      </c>
      <c r="H3" s="17"/>
      <c r="I3" s="17"/>
      <c r="J3" s="25">
        <f t="shared" ref="J3:O3" si="6">AVERAGE(J4:J33)</f>
        <v>13460.2666666667</v>
      </c>
      <c r="K3" s="25">
        <f t="shared" si="6"/>
        <v>2393.85133333333</v>
      </c>
      <c r="L3" s="25">
        <f t="shared" si="6"/>
        <v>2371.8</v>
      </c>
      <c r="M3" s="26">
        <f t="shared" si="6"/>
        <v>12082.7333333333</v>
      </c>
      <c r="N3" s="26">
        <f t="shared" si="6"/>
        <v>12068.7036666667</v>
      </c>
      <c r="O3" s="23">
        <f t="shared" si="6"/>
        <v>182.8</v>
      </c>
      <c r="P3" s="17"/>
      <c r="Q3" s="23">
        <f t="shared" ref="Q3:U3" si="7">AVERAGE(Q4:Q33)</f>
        <v>1651.46666666667</v>
      </c>
      <c r="R3" s="17"/>
      <c r="S3" s="23">
        <f t="shared" si="7"/>
        <v>863.166666666667</v>
      </c>
      <c r="T3" s="17"/>
      <c r="U3" s="24">
        <f t="shared" si="7"/>
        <v>20980.4</v>
      </c>
      <c r="V3" s="17"/>
      <c r="W3" s="21"/>
      <c r="X3" s="24">
        <f>AVERAGE(X4:X33)</f>
        <v>26255.4</v>
      </c>
      <c r="Y3" s="17"/>
      <c r="Z3" s="23">
        <f>AVERAGE(Z4:Z33)</f>
        <v>2937.23333333333</v>
      </c>
      <c r="AA3" s="17"/>
    </row>
    <row r="4" spans="1:27">
      <c r="A4" s="27">
        <v>46174</v>
      </c>
      <c r="B4" s="28" t="s">
        <v>28</v>
      </c>
      <c r="C4" s="20">
        <v>1446</v>
      </c>
      <c r="D4" s="29">
        <v>0.26</v>
      </c>
      <c r="E4" s="30">
        <v>40137</v>
      </c>
      <c r="F4" s="30">
        <v>5501</v>
      </c>
      <c r="G4" s="30">
        <v>77289</v>
      </c>
      <c r="H4" s="14">
        <v>0.0187</v>
      </c>
      <c r="I4" s="14">
        <v>0.5776</v>
      </c>
      <c r="J4" s="31">
        <v>13414</v>
      </c>
      <c r="K4" s="32">
        <v>936.64</v>
      </c>
      <c r="L4" s="33">
        <v>2447</v>
      </c>
      <c r="M4" s="34">
        <v>10824.45</v>
      </c>
      <c r="N4" s="35">
        <v>10824.45</v>
      </c>
      <c r="O4" s="36">
        <v>40</v>
      </c>
      <c r="P4" s="14">
        <v>0.0005</v>
      </c>
      <c r="Q4" s="36">
        <v>2057</v>
      </c>
      <c r="R4" s="37">
        <v>0.0266</v>
      </c>
      <c r="S4" s="36">
        <v>802</v>
      </c>
      <c r="T4" s="14">
        <v>0.0104</v>
      </c>
      <c r="U4" s="30">
        <v>24916</v>
      </c>
      <c r="V4" s="37">
        <v>0.3222</v>
      </c>
      <c r="W4" s="14">
        <v>0.3234</v>
      </c>
      <c r="X4" s="30">
        <v>10161</v>
      </c>
      <c r="Y4" s="14">
        <v>0.1315</v>
      </c>
      <c r="Z4" s="20">
        <v>3488</v>
      </c>
      <c r="AA4" s="37">
        <v>0.0451</v>
      </c>
    </row>
    <row r="5" spans="1:27">
      <c r="A5" s="27">
        <v>46175</v>
      </c>
      <c r="B5" s="28" t="s">
        <v>29</v>
      </c>
      <c r="C5" s="20">
        <v>1383</v>
      </c>
      <c r="D5" s="29">
        <v>0.34</v>
      </c>
      <c r="E5" s="38">
        <v>29394</v>
      </c>
      <c r="F5" s="30">
        <v>4096</v>
      </c>
      <c r="G5" s="30">
        <v>56797</v>
      </c>
      <c r="H5" s="14">
        <v>0.0243</v>
      </c>
      <c r="I5" s="14">
        <v>0.5685</v>
      </c>
      <c r="J5" s="31">
        <v>9754</v>
      </c>
      <c r="K5" s="32">
        <v>879.77</v>
      </c>
      <c r="L5" s="33">
        <v>2258</v>
      </c>
      <c r="M5" s="34">
        <v>7961.61</v>
      </c>
      <c r="N5" s="35">
        <v>7961.61</v>
      </c>
      <c r="O5" s="36">
        <v>60</v>
      </c>
      <c r="P5" s="14">
        <v>0.0011</v>
      </c>
      <c r="Q5" s="36">
        <v>1523</v>
      </c>
      <c r="R5" s="37">
        <v>0.0268</v>
      </c>
      <c r="S5" s="36">
        <v>771</v>
      </c>
      <c r="T5" s="37">
        <v>0.0136</v>
      </c>
      <c r="U5" s="30">
        <v>16839</v>
      </c>
      <c r="V5" s="37">
        <v>0.2962</v>
      </c>
      <c r="W5" s="14">
        <v>0.2988</v>
      </c>
      <c r="X5" s="30">
        <v>9527</v>
      </c>
      <c r="Y5" s="14">
        <v>0.1677</v>
      </c>
      <c r="Z5" s="20">
        <v>2358</v>
      </c>
      <c r="AA5" s="37">
        <v>0.0415</v>
      </c>
    </row>
    <row r="6" spans="1:27">
      <c r="A6" s="27">
        <v>46176</v>
      </c>
      <c r="B6" s="28" t="s">
        <v>30</v>
      </c>
      <c r="C6" s="20">
        <v>1321</v>
      </c>
      <c r="D6" s="29">
        <v>0.3</v>
      </c>
      <c r="E6" s="30">
        <v>29672</v>
      </c>
      <c r="F6" s="30">
        <v>4372</v>
      </c>
      <c r="G6" s="30">
        <v>60757</v>
      </c>
      <c r="H6" s="14">
        <v>0.0217</v>
      </c>
      <c r="I6" s="14">
        <v>0.5822</v>
      </c>
      <c r="J6" s="31">
        <v>10456</v>
      </c>
      <c r="K6" s="32">
        <v>849.69</v>
      </c>
      <c r="L6" s="33">
        <v>2493</v>
      </c>
      <c r="M6" s="34">
        <v>8508.29</v>
      </c>
      <c r="N6" s="35">
        <v>8508.29</v>
      </c>
      <c r="O6" s="36">
        <v>10</v>
      </c>
      <c r="P6" s="14">
        <v>0.0002</v>
      </c>
      <c r="Q6" s="36">
        <v>1932</v>
      </c>
      <c r="R6" s="37">
        <v>0.0318</v>
      </c>
      <c r="S6" s="36">
        <v>738</v>
      </c>
      <c r="T6" s="37">
        <v>0.0121</v>
      </c>
      <c r="U6" s="30">
        <v>18873</v>
      </c>
      <c r="V6" s="37">
        <v>0.3105</v>
      </c>
      <c r="W6" s="14">
        <v>0.3134</v>
      </c>
      <c r="X6" s="30">
        <v>9079</v>
      </c>
      <c r="Y6" s="14">
        <v>0.1494</v>
      </c>
      <c r="Z6" s="20">
        <v>2642</v>
      </c>
      <c r="AA6" s="37">
        <v>0.0435</v>
      </c>
    </row>
    <row r="7" spans="1:27">
      <c r="A7" s="27">
        <v>46177</v>
      </c>
      <c r="B7" s="28" t="s">
        <v>31</v>
      </c>
      <c r="C7" s="20">
        <v>2615</v>
      </c>
      <c r="D7" s="29">
        <v>0.46</v>
      </c>
      <c r="E7" s="30">
        <v>48354</v>
      </c>
      <c r="F7" s="30">
        <v>5694</v>
      </c>
      <c r="G7" s="30">
        <v>81867</v>
      </c>
      <c r="H7" s="14">
        <v>0.0319</v>
      </c>
      <c r="I7" s="14">
        <v>0.5206</v>
      </c>
      <c r="J7" s="31">
        <v>13308</v>
      </c>
      <c r="K7" s="32">
        <v>1591.35</v>
      </c>
      <c r="L7" s="33">
        <v>2822</v>
      </c>
      <c r="M7" s="34">
        <v>11457.29</v>
      </c>
      <c r="N7" s="35">
        <v>11457.29</v>
      </c>
      <c r="O7" s="36">
        <v>10</v>
      </c>
      <c r="P7" s="14">
        <v>0.0001</v>
      </c>
      <c r="Q7" s="36">
        <v>1129</v>
      </c>
      <c r="R7" s="37">
        <v>0.0138</v>
      </c>
      <c r="S7" s="36">
        <v>797</v>
      </c>
      <c r="T7" s="14">
        <v>0.0097</v>
      </c>
      <c r="U7" s="30">
        <v>24437</v>
      </c>
      <c r="V7" s="37">
        <v>0.2984</v>
      </c>
      <c r="W7" s="14">
        <v>0.3195</v>
      </c>
      <c r="X7" s="30">
        <v>17307</v>
      </c>
      <c r="Y7" s="14">
        <v>0.2114</v>
      </c>
      <c r="Z7" s="20">
        <v>3421</v>
      </c>
      <c r="AA7" s="37">
        <v>0.0418</v>
      </c>
    </row>
    <row r="8" spans="1:27">
      <c r="A8" s="27">
        <v>46178</v>
      </c>
      <c r="B8" s="28" t="s">
        <v>32</v>
      </c>
      <c r="C8" s="20">
        <v>2245</v>
      </c>
      <c r="D8" s="29">
        <v>0.36</v>
      </c>
      <c r="E8" s="30">
        <v>48129</v>
      </c>
      <c r="F8" s="30">
        <v>6299</v>
      </c>
      <c r="G8" s="30">
        <v>91216</v>
      </c>
      <c r="H8" s="14">
        <v>0.0246</v>
      </c>
      <c r="I8" s="14">
        <v>0.5934</v>
      </c>
      <c r="J8" s="31">
        <v>13286</v>
      </c>
      <c r="K8" s="32">
        <v>2833.89</v>
      </c>
      <c r="L8" s="33">
        <v>2889</v>
      </c>
      <c r="M8" s="34">
        <v>12772.74</v>
      </c>
      <c r="N8" s="35">
        <v>12772.74</v>
      </c>
      <c r="O8" s="36">
        <v>70</v>
      </c>
      <c r="P8" s="14">
        <v>0.0008</v>
      </c>
      <c r="Q8" s="36">
        <v>1242</v>
      </c>
      <c r="R8" s="37">
        <v>0.0136</v>
      </c>
      <c r="S8" s="36">
        <v>778</v>
      </c>
      <c r="T8" s="14">
        <v>0.0085</v>
      </c>
      <c r="U8" s="30">
        <v>25419</v>
      </c>
      <c r="V8" s="37">
        <v>0.2787</v>
      </c>
      <c r="W8" s="14">
        <v>0.2777</v>
      </c>
      <c r="X8" s="30">
        <v>30507</v>
      </c>
      <c r="Y8" s="37">
        <v>0.3344</v>
      </c>
      <c r="Z8" s="20">
        <v>3559</v>
      </c>
      <c r="AA8" s="37">
        <v>0.039</v>
      </c>
    </row>
    <row r="9" spans="1:27">
      <c r="A9" s="27">
        <v>46179</v>
      </c>
      <c r="B9" s="28" t="s">
        <v>33</v>
      </c>
      <c r="C9" s="20">
        <v>2746</v>
      </c>
      <c r="D9" s="29">
        <v>0.37</v>
      </c>
      <c r="E9" s="30">
        <v>58494</v>
      </c>
      <c r="F9" s="30">
        <v>7384</v>
      </c>
      <c r="G9" s="30">
        <v>102162</v>
      </c>
      <c r="H9" s="14">
        <v>0.0268</v>
      </c>
      <c r="I9" s="14">
        <v>0.6037</v>
      </c>
      <c r="J9" s="31">
        <v>17442</v>
      </c>
      <c r="K9" s="32">
        <v>1865.71</v>
      </c>
      <c r="L9" s="33">
        <v>2845</v>
      </c>
      <c r="M9" s="34">
        <v>14356.32</v>
      </c>
      <c r="N9" s="35">
        <v>14356.32</v>
      </c>
      <c r="O9" s="36">
        <v>0</v>
      </c>
      <c r="P9" s="14">
        <v>0</v>
      </c>
      <c r="Q9" s="36">
        <v>2082</v>
      </c>
      <c r="R9" s="37">
        <v>0.0204</v>
      </c>
      <c r="S9" s="36">
        <v>828</v>
      </c>
      <c r="T9" s="14">
        <v>0.0081</v>
      </c>
      <c r="U9" s="30">
        <v>29604</v>
      </c>
      <c r="V9" s="37">
        <v>0.2893</v>
      </c>
      <c r="W9" s="14">
        <v>0.2874</v>
      </c>
      <c r="X9" s="30">
        <v>20158</v>
      </c>
      <c r="Y9" s="14">
        <v>0.1973</v>
      </c>
      <c r="Z9" s="20">
        <v>4145</v>
      </c>
      <c r="AA9" s="37">
        <v>0.0405</v>
      </c>
    </row>
    <row r="10" spans="1:27">
      <c r="A10" s="27">
        <v>46180</v>
      </c>
      <c r="B10" s="28" t="s">
        <v>34</v>
      </c>
      <c r="C10" s="20">
        <v>3615</v>
      </c>
      <c r="D10" s="29">
        <v>0.55</v>
      </c>
      <c r="E10" s="30">
        <v>75656</v>
      </c>
      <c r="F10" s="30">
        <v>6544</v>
      </c>
      <c r="G10" s="30">
        <v>96311</v>
      </c>
      <c r="H10" s="14">
        <v>0.0375</v>
      </c>
      <c r="I10" s="14">
        <v>0.4832</v>
      </c>
      <c r="J10" s="31">
        <v>17235</v>
      </c>
      <c r="K10" s="32">
        <v>1484.08</v>
      </c>
      <c r="L10" s="33">
        <v>2650</v>
      </c>
      <c r="M10" s="34">
        <v>13498.8</v>
      </c>
      <c r="N10" s="35">
        <v>13498.8</v>
      </c>
      <c r="O10" s="36">
        <v>40</v>
      </c>
      <c r="P10" s="14">
        <v>0.0004</v>
      </c>
      <c r="Q10" s="36">
        <v>1434</v>
      </c>
      <c r="R10" s="37">
        <v>0.0149</v>
      </c>
      <c r="S10" s="36">
        <v>808</v>
      </c>
      <c r="T10" s="14">
        <v>0.0084</v>
      </c>
      <c r="U10" s="30">
        <v>23008</v>
      </c>
      <c r="V10" s="14">
        <v>0.2387</v>
      </c>
      <c r="W10" s="14">
        <v>0.2347</v>
      </c>
      <c r="X10" s="30">
        <v>15721</v>
      </c>
      <c r="Y10" s="14">
        <v>0.1632</v>
      </c>
      <c r="Z10" s="20">
        <v>3221</v>
      </c>
      <c r="AA10" s="14">
        <v>0.0334</v>
      </c>
    </row>
    <row r="11" spans="1:27">
      <c r="A11" s="27">
        <v>46181</v>
      </c>
      <c r="B11" s="28" t="s">
        <v>28</v>
      </c>
      <c r="C11" s="20">
        <v>1323</v>
      </c>
      <c r="D11" s="29">
        <v>0.22</v>
      </c>
      <c r="E11" s="30">
        <v>57449</v>
      </c>
      <c r="F11" s="30">
        <v>5966</v>
      </c>
      <c r="G11" s="30">
        <v>82561</v>
      </c>
      <c r="H11" s="14">
        <v>0.016</v>
      </c>
      <c r="I11" s="14">
        <v>0.5013</v>
      </c>
      <c r="J11" s="31">
        <v>14105</v>
      </c>
      <c r="K11" s="32">
        <v>1364.08</v>
      </c>
      <c r="L11" s="33">
        <v>2570</v>
      </c>
      <c r="M11" s="34">
        <v>11558.33</v>
      </c>
      <c r="N11" s="35">
        <v>11558.33</v>
      </c>
      <c r="O11" s="36">
        <v>190</v>
      </c>
      <c r="P11" s="14">
        <v>0.0023</v>
      </c>
      <c r="Q11" s="36">
        <v>2190</v>
      </c>
      <c r="R11" s="37">
        <v>0.0265</v>
      </c>
      <c r="S11" s="36">
        <v>1008</v>
      </c>
      <c r="T11" s="37">
        <v>0.0122</v>
      </c>
      <c r="U11" s="30">
        <v>23957</v>
      </c>
      <c r="V11" s="37">
        <v>0.2902</v>
      </c>
      <c r="W11" s="14">
        <v>0.2997</v>
      </c>
      <c r="X11" s="30">
        <v>16281</v>
      </c>
      <c r="Y11" s="14">
        <v>0.1972</v>
      </c>
      <c r="Z11" s="20">
        <v>3354</v>
      </c>
      <c r="AA11" s="37">
        <v>0.0406</v>
      </c>
    </row>
    <row r="12" spans="1:27">
      <c r="A12" s="27">
        <v>46182</v>
      </c>
      <c r="B12" s="28" t="s">
        <v>29</v>
      </c>
      <c r="C12" s="20">
        <v>1208</v>
      </c>
      <c r="D12" s="29">
        <v>0.25</v>
      </c>
      <c r="E12" s="30">
        <v>36548</v>
      </c>
      <c r="F12" s="30">
        <v>4850</v>
      </c>
      <c r="G12" s="30">
        <v>70245</v>
      </c>
      <c r="H12" s="14">
        <v>0.0172</v>
      </c>
      <c r="I12" s="14">
        <v>0.5868</v>
      </c>
      <c r="J12" s="31">
        <v>11844</v>
      </c>
      <c r="K12" s="32">
        <v>982.5</v>
      </c>
      <c r="L12" s="33">
        <v>2426</v>
      </c>
      <c r="M12" s="34">
        <v>9833.1</v>
      </c>
      <c r="N12" s="35">
        <v>9833.1</v>
      </c>
      <c r="O12" s="36">
        <v>160</v>
      </c>
      <c r="P12" s="14">
        <v>0.0023</v>
      </c>
      <c r="Q12" s="36">
        <v>1625</v>
      </c>
      <c r="R12" s="37">
        <v>0.0231</v>
      </c>
      <c r="S12" s="36">
        <v>963</v>
      </c>
      <c r="T12" s="37">
        <v>0.0137</v>
      </c>
      <c r="U12" s="30">
        <v>22357</v>
      </c>
      <c r="V12" s="37">
        <v>0.3183</v>
      </c>
      <c r="W12" s="14">
        <v>0.3307</v>
      </c>
      <c r="X12" s="30">
        <v>10420</v>
      </c>
      <c r="Y12" s="14">
        <v>0.1483</v>
      </c>
      <c r="Z12" s="20">
        <v>3130</v>
      </c>
      <c r="AA12" s="37">
        <v>0.0446</v>
      </c>
    </row>
    <row r="13" spans="1:27">
      <c r="A13" s="27">
        <v>46183</v>
      </c>
      <c r="B13" s="28" t="s">
        <v>30</v>
      </c>
      <c r="C13" s="39">
        <v>-1231</v>
      </c>
      <c r="D13" s="40">
        <v>-0.26</v>
      </c>
      <c r="E13" s="30">
        <v>33325</v>
      </c>
      <c r="F13" s="30">
        <v>4755</v>
      </c>
      <c r="G13" s="30">
        <v>67179</v>
      </c>
      <c r="H13" s="14">
        <v>-0.0183</v>
      </c>
      <c r="I13" s="14">
        <v>0.6269</v>
      </c>
      <c r="J13" s="31">
        <v>11163</v>
      </c>
      <c r="K13" s="32">
        <v>972.64</v>
      </c>
      <c r="L13" s="33">
        <v>2447</v>
      </c>
      <c r="M13" s="34">
        <v>9404.63</v>
      </c>
      <c r="N13" s="35">
        <v>9404.63</v>
      </c>
      <c r="O13" s="36">
        <v>4284</v>
      </c>
      <c r="P13" s="37">
        <v>0.0638</v>
      </c>
      <c r="Q13" s="36">
        <v>0</v>
      </c>
      <c r="R13" s="14">
        <v>0</v>
      </c>
      <c r="S13" s="36">
        <v>710</v>
      </c>
      <c r="T13" s="37">
        <v>0.0106</v>
      </c>
      <c r="U13" s="30">
        <v>22523</v>
      </c>
      <c r="V13" s="37">
        <v>0.3353</v>
      </c>
      <c r="W13" s="14">
        <v>0.346</v>
      </c>
      <c r="X13" s="30">
        <v>10351</v>
      </c>
      <c r="Y13" s="14">
        <v>0.1541</v>
      </c>
      <c r="Z13" s="20">
        <v>3153</v>
      </c>
      <c r="AA13" s="37">
        <v>0.0469</v>
      </c>
    </row>
    <row r="14" spans="1:27">
      <c r="A14" s="27">
        <v>46184</v>
      </c>
      <c r="B14" s="28" t="s">
        <v>31</v>
      </c>
      <c r="C14" s="20">
        <v>1402</v>
      </c>
      <c r="D14" s="29">
        <v>0.3</v>
      </c>
      <c r="E14" s="30">
        <v>32651</v>
      </c>
      <c r="F14" s="30">
        <v>4736</v>
      </c>
      <c r="G14" s="30">
        <v>65456</v>
      </c>
      <c r="H14" s="14">
        <v>0.0214</v>
      </c>
      <c r="I14" s="14">
        <v>0.5911</v>
      </c>
      <c r="J14" s="31">
        <v>11054</v>
      </c>
      <c r="K14" s="32">
        <v>824.47</v>
      </c>
      <c r="L14" s="33">
        <v>2671</v>
      </c>
      <c r="M14" s="34">
        <v>9166.86</v>
      </c>
      <c r="N14" s="35">
        <v>9166.86</v>
      </c>
      <c r="O14" s="36">
        <v>20</v>
      </c>
      <c r="P14" s="14">
        <v>0.0003</v>
      </c>
      <c r="Q14" s="36">
        <v>1541</v>
      </c>
      <c r="R14" s="37">
        <v>0.0235</v>
      </c>
      <c r="S14" s="36">
        <v>1034</v>
      </c>
      <c r="T14" s="37">
        <v>0.0158</v>
      </c>
      <c r="U14" s="30">
        <v>22694</v>
      </c>
      <c r="V14" s="37">
        <v>0.3465</v>
      </c>
      <c r="W14" s="14">
        <v>0.3395</v>
      </c>
      <c r="X14" s="30">
        <v>8801</v>
      </c>
      <c r="Y14" s="14">
        <v>0.1345</v>
      </c>
      <c r="Z14" s="20">
        <v>3177</v>
      </c>
      <c r="AA14" s="37">
        <v>0.0485</v>
      </c>
    </row>
    <row r="15" spans="1:27">
      <c r="A15" s="27">
        <v>46185</v>
      </c>
      <c r="B15" s="28" t="s">
        <v>32</v>
      </c>
      <c r="C15" s="20">
        <v>1643</v>
      </c>
      <c r="D15" s="29">
        <v>0.27</v>
      </c>
      <c r="E15" s="30">
        <v>47234</v>
      </c>
      <c r="F15" s="30">
        <v>6031</v>
      </c>
      <c r="G15" s="30">
        <v>89496</v>
      </c>
      <c r="H15" s="14">
        <v>0.0184</v>
      </c>
      <c r="I15" s="14">
        <v>0.583</v>
      </c>
      <c r="J15" s="31">
        <v>13145</v>
      </c>
      <c r="K15" s="32">
        <v>2731.25</v>
      </c>
      <c r="L15" s="33">
        <v>2828</v>
      </c>
      <c r="M15" s="34">
        <v>12532.16</v>
      </c>
      <c r="N15" s="35">
        <v>12529.02</v>
      </c>
      <c r="O15" s="36">
        <v>70</v>
      </c>
      <c r="P15" s="14">
        <v>0.0008</v>
      </c>
      <c r="Q15" s="36">
        <v>1472</v>
      </c>
      <c r="R15" s="14">
        <v>0.0164</v>
      </c>
      <c r="S15" s="36">
        <v>1147</v>
      </c>
      <c r="T15" s="37">
        <v>0.0128</v>
      </c>
      <c r="U15" s="30">
        <v>23817</v>
      </c>
      <c r="V15" s="37">
        <v>0.2661</v>
      </c>
      <c r="W15" s="14">
        <v>0.2673</v>
      </c>
      <c r="X15" s="30">
        <v>29287</v>
      </c>
      <c r="Y15" s="37">
        <v>0.3272</v>
      </c>
      <c r="Z15" s="20">
        <v>3334</v>
      </c>
      <c r="AA15" s="37">
        <v>0.0373</v>
      </c>
    </row>
    <row r="16" spans="1:27">
      <c r="A16" s="27">
        <v>46186</v>
      </c>
      <c r="B16" s="28" t="s">
        <v>33</v>
      </c>
      <c r="C16" s="20">
        <v>5109</v>
      </c>
      <c r="D16" s="29">
        <v>0.65</v>
      </c>
      <c r="E16" s="30">
        <v>98929</v>
      </c>
      <c r="F16" s="30">
        <v>7845</v>
      </c>
      <c r="G16" s="30">
        <v>111827</v>
      </c>
      <c r="H16" s="14">
        <v>0.0457</v>
      </c>
      <c r="I16" s="14">
        <v>0.4312</v>
      </c>
      <c r="J16" s="31">
        <v>20992</v>
      </c>
      <c r="K16" s="32">
        <v>1319.66</v>
      </c>
      <c r="L16" s="33">
        <v>2878</v>
      </c>
      <c r="M16" s="34">
        <v>15665.02</v>
      </c>
      <c r="N16" s="35">
        <v>15665.02</v>
      </c>
      <c r="O16" s="36">
        <v>0</v>
      </c>
      <c r="P16" s="14">
        <v>0</v>
      </c>
      <c r="Q16" s="36">
        <v>1383</v>
      </c>
      <c r="R16" s="14">
        <v>0.0124</v>
      </c>
      <c r="S16" s="36">
        <v>694</v>
      </c>
      <c r="T16" s="14">
        <v>0.0062</v>
      </c>
      <c r="U16" s="30">
        <v>26326</v>
      </c>
      <c r="V16" s="14">
        <v>0.2353</v>
      </c>
      <c r="W16" s="14">
        <v>0.2367</v>
      </c>
      <c r="X16" s="30">
        <v>14376</v>
      </c>
      <c r="Y16" s="14">
        <v>0.1286</v>
      </c>
      <c r="Z16" s="20">
        <v>3686</v>
      </c>
      <c r="AA16" s="14">
        <v>0.0329</v>
      </c>
    </row>
    <row r="17" spans="1:27">
      <c r="A17" s="27">
        <v>46187</v>
      </c>
      <c r="B17" s="28" t="s">
        <v>34</v>
      </c>
      <c r="C17" s="20">
        <v>2912</v>
      </c>
      <c r="D17" s="29">
        <v>0.48</v>
      </c>
      <c r="E17" s="30">
        <v>51236</v>
      </c>
      <c r="F17" s="30">
        <v>6041</v>
      </c>
      <c r="G17" s="30">
        <v>88712</v>
      </c>
      <c r="H17" s="14">
        <v>0.0328</v>
      </c>
      <c r="I17" s="14">
        <v>0.6481</v>
      </c>
      <c r="J17" s="31">
        <v>14440</v>
      </c>
      <c r="K17" s="32">
        <v>1753.91</v>
      </c>
      <c r="L17" s="33">
        <v>2500</v>
      </c>
      <c r="M17" s="34">
        <v>12419.49</v>
      </c>
      <c r="N17" s="35">
        <v>12419.49</v>
      </c>
      <c r="O17" s="36">
        <v>80</v>
      </c>
      <c r="P17" s="14">
        <v>0.0009</v>
      </c>
      <c r="Q17" s="36">
        <v>1378</v>
      </c>
      <c r="R17" s="14">
        <v>0.0155</v>
      </c>
      <c r="S17" s="36">
        <v>78</v>
      </c>
      <c r="T17" s="14">
        <v>0.0009</v>
      </c>
      <c r="U17" s="30">
        <v>25453</v>
      </c>
      <c r="V17" s="37">
        <v>0.2868</v>
      </c>
      <c r="W17" s="14">
        <v>0.2912</v>
      </c>
      <c r="X17" s="30">
        <v>18843</v>
      </c>
      <c r="Y17" s="14">
        <v>0.2124</v>
      </c>
      <c r="Z17" s="20">
        <v>3563</v>
      </c>
      <c r="AA17" s="37">
        <v>0.0402</v>
      </c>
    </row>
    <row r="18" spans="1:27">
      <c r="A18" s="27">
        <v>46188</v>
      </c>
      <c r="B18" s="28" t="s">
        <v>28</v>
      </c>
      <c r="C18" s="20">
        <v>420</v>
      </c>
      <c r="D18" s="29">
        <v>0.08</v>
      </c>
      <c r="E18" s="30">
        <v>36094</v>
      </c>
      <c r="F18" s="30">
        <v>4946</v>
      </c>
      <c r="G18" s="30">
        <v>69782</v>
      </c>
      <c r="H18" s="14">
        <v>0.006</v>
      </c>
      <c r="I18" s="14">
        <v>0.6289</v>
      </c>
      <c r="J18" s="31">
        <v>11619</v>
      </c>
      <c r="K18" s="32">
        <v>976.6</v>
      </c>
      <c r="L18" s="33">
        <v>2454</v>
      </c>
      <c r="M18" s="34">
        <v>9771.55</v>
      </c>
      <c r="N18" s="35">
        <v>9771.55</v>
      </c>
      <c r="O18" s="36">
        <v>20</v>
      </c>
      <c r="P18" s="14">
        <v>0.0003</v>
      </c>
      <c r="Q18" s="36">
        <v>2593</v>
      </c>
      <c r="R18" s="37">
        <v>0.0372</v>
      </c>
      <c r="S18" s="36">
        <v>783</v>
      </c>
      <c r="T18" s="37">
        <v>0.0112</v>
      </c>
      <c r="U18" s="30">
        <v>23436</v>
      </c>
      <c r="V18" s="37">
        <v>0.3357</v>
      </c>
      <c r="W18" s="14">
        <v>0.35</v>
      </c>
      <c r="X18" s="30">
        <v>11314</v>
      </c>
      <c r="Y18" s="14">
        <v>0.1621</v>
      </c>
      <c r="Z18" s="20">
        <v>3281</v>
      </c>
      <c r="AA18" s="37">
        <v>0.047</v>
      </c>
    </row>
    <row r="19" spans="1:27">
      <c r="A19" s="27">
        <v>46189</v>
      </c>
      <c r="B19" s="28" t="s">
        <v>29</v>
      </c>
      <c r="C19" s="20">
        <v>1777</v>
      </c>
      <c r="D19" s="29">
        <v>0.36</v>
      </c>
      <c r="E19" s="30">
        <v>41271</v>
      </c>
      <c r="F19" s="30">
        <v>4929</v>
      </c>
      <c r="G19" s="30">
        <v>68112</v>
      </c>
      <c r="H19" s="14">
        <v>0.0261</v>
      </c>
      <c r="I19" s="14">
        <v>0.5957</v>
      </c>
      <c r="J19" s="31">
        <v>12188</v>
      </c>
      <c r="K19" s="32">
        <v>793.9</v>
      </c>
      <c r="L19" s="33">
        <v>2285</v>
      </c>
      <c r="M19" s="34">
        <v>9540.97</v>
      </c>
      <c r="N19" s="35">
        <v>9531.52</v>
      </c>
      <c r="O19" s="36">
        <v>0</v>
      </c>
      <c r="P19" s="14">
        <v>0</v>
      </c>
      <c r="Q19" s="36">
        <v>1677</v>
      </c>
      <c r="R19" s="37">
        <v>0.0246</v>
      </c>
      <c r="S19" s="36">
        <v>837</v>
      </c>
      <c r="T19" s="37">
        <v>0.0123</v>
      </c>
      <c r="U19" s="30">
        <v>20387</v>
      </c>
      <c r="V19" s="37">
        <v>0.2992</v>
      </c>
      <c r="W19" s="14">
        <v>0.297</v>
      </c>
      <c r="X19" s="30">
        <v>8683</v>
      </c>
      <c r="Y19" s="14">
        <v>0.1275</v>
      </c>
      <c r="Z19" s="20">
        <v>2854</v>
      </c>
      <c r="AA19" s="37">
        <v>0.0419</v>
      </c>
    </row>
    <row r="20" spans="1:27">
      <c r="A20" s="27">
        <v>46190</v>
      </c>
      <c r="B20" s="28" t="s">
        <v>30</v>
      </c>
      <c r="C20" s="20">
        <v>1768</v>
      </c>
      <c r="D20" s="29">
        <v>0.32</v>
      </c>
      <c r="E20" s="30">
        <v>53025</v>
      </c>
      <c r="F20" s="30">
        <v>5495</v>
      </c>
      <c r="G20" s="30">
        <v>79333</v>
      </c>
      <c r="H20" s="14">
        <v>0.0223</v>
      </c>
      <c r="I20" s="14">
        <v>0.522</v>
      </c>
      <c r="J20" s="31">
        <v>13471</v>
      </c>
      <c r="K20" s="32">
        <v>839.5</v>
      </c>
      <c r="L20" s="33">
        <v>2512</v>
      </c>
      <c r="M20" s="34">
        <v>11107.21</v>
      </c>
      <c r="N20" s="35">
        <v>11107.21</v>
      </c>
      <c r="O20" s="36">
        <v>0</v>
      </c>
      <c r="P20" s="14">
        <v>0</v>
      </c>
      <c r="Q20" s="36">
        <v>1503</v>
      </c>
      <c r="R20" s="14">
        <v>0.0189</v>
      </c>
      <c r="S20" s="36">
        <v>797</v>
      </c>
      <c r="T20" s="14">
        <v>0.01</v>
      </c>
      <c r="U20" s="30">
        <v>27040</v>
      </c>
      <c r="V20" s="37">
        <v>0.3407</v>
      </c>
      <c r="W20" s="14">
        <v>0.3336</v>
      </c>
      <c r="X20" s="30">
        <v>9165</v>
      </c>
      <c r="Y20" s="14">
        <v>0.1155</v>
      </c>
      <c r="Z20" s="20">
        <v>3786</v>
      </c>
      <c r="AA20" s="37">
        <v>0.0477</v>
      </c>
    </row>
    <row r="21" spans="1:27">
      <c r="A21" s="27">
        <v>46191</v>
      </c>
      <c r="B21" s="28" t="s">
        <v>31</v>
      </c>
      <c r="C21" s="39">
        <v>-410</v>
      </c>
      <c r="D21" s="40">
        <v>-0.05</v>
      </c>
      <c r="E21" s="41">
        <v>133892</v>
      </c>
      <c r="F21" s="30">
        <v>8968</v>
      </c>
      <c r="G21" s="30">
        <v>157748</v>
      </c>
      <c r="H21" s="14">
        <v>-0.0026</v>
      </c>
      <c r="I21" s="14"/>
      <c r="J21" s="31">
        <v>13666</v>
      </c>
      <c r="K21" s="32">
        <v>13301.7</v>
      </c>
      <c r="L21" s="33">
        <v>380</v>
      </c>
      <c r="M21" s="34">
        <v>22145.7</v>
      </c>
      <c r="N21" s="35">
        <v>22115.15</v>
      </c>
      <c r="O21" s="36">
        <v>80</v>
      </c>
      <c r="P21" s="14">
        <v>0.0005</v>
      </c>
      <c r="Q21" s="36">
        <v>1719</v>
      </c>
      <c r="R21" s="14">
        <v>0.0109</v>
      </c>
      <c r="S21" s="36">
        <v>852</v>
      </c>
      <c r="T21" s="14">
        <v>0.0054</v>
      </c>
      <c r="U21" s="30">
        <v>1824</v>
      </c>
      <c r="V21" s="14">
        <v>0.0115</v>
      </c>
      <c r="W21" s="14">
        <v>0.0114</v>
      </c>
      <c r="X21" s="30">
        <v>143374</v>
      </c>
      <c r="Y21" s="37">
        <v>0.9089</v>
      </c>
      <c r="Z21" s="20">
        <v>255</v>
      </c>
      <c r="AA21" s="14">
        <v>0.0016</v>
      </c>
    </row>
    <row r="22" spans="1:27">
      <c r="A22" s="27">
        <v>46192</v>
      </c>
      <c r="B22" s="28" t="s">
        <v>32</v>
      </c>
      <c r="C22" s="39">
        <v>-139</v>
      </c>
      <c r="D22" s="40">
        <v>-0.02</v>
      </c>
      <c r="E22" s="30">
        <v>113429</v>
      </c>
      <c r="F22" s="41">
        <v>9104</v>
      </c>
      <c r="G22" s="30">
        <v>152506</v>
      </c>
      <c r="H22" s="14">
        <v>-0.0009</v>
      </c>
      <c r="I22" s="14"/>
      <c r="J22" s="31">
        <v>13698</v>
      </c>
      <c r="K22" s="32">
        <v>12931.37</v>
      </c>
      <c r="L22" s="33">
        <v>235</v>
      </c>
      <c r="M22" s="34">
        <v>21384.35</v>
      </c>
      <c r="N22" s="35">
        <v>21346.74</v>
      </c>
      <c r="O22" s="36">
        <v>40</v>
      </c>
      <c r="P22" s="14">
        <v>0.0003</v>
      </c>
      <c r="Q22" s="36">
        <v>1806</v>
      </c>
      <c r="R22" s="14">
        <v>0.0118</v>
      </c>
      <c r="S22" s="36">
        <v>830</v>
      </c>
      <c r="T22" s="14">
        <v>0.0054</v>
      </c>
      <c r="U22" s="30">
        <v>1153</v>
      </c>
      <c r="V22" s="14">
        <v>0.0075</v>
      </c>
      <c r="W22" s="42">
        <v>0.0078</v>
      </c>
      <c r="X22" s="30">
        <v>135317</v>
      </c>
      <c r="Y22" s="37">
        <v>0.8873</v>
      </c>
      <c r="Z22" s="20">
        <v>161</v>
      </c>
      <c r="AA22" s="14">
        <v>0.0011</v>
      </c>
    </row>
    <row r="23" spans="1:27">
      <c r="A23" s="27">
        <v>46193</v>
      </c>
      <c r="B23" s="28" t="s">
        <v>33</v>
      </c>
      <c r="C23" s="20">
        <v>1398</v>
      </c>
      <c r="D23" s="29">
        <v>0.17</v>
      </c>
      <c r="E23" s="30">
        <v>104736</v>
      </c>
      <c r="F23" s="30">
        <v>8255</v>
      </c>
      <c r="G23" s="30">
        <v>124745</v>
      </c>
      <c r="H23" s="14">
        <v>0.0112</v>
      </c>
      <c r="I23" s="14"/>
      <c r="J23" s="31">
        <v>20814</v>
      </c>
      <c r="K23" s="32">
        <v>3664.87</v>
      </c>
      <c r="L23" s="33">
        <v>1680</v>
      </c>
      <c r="M23" s="34">
        <v>17478.17</v>
      </c>
      <c r="N23" s="35">
        <v>17470.6</v>
      </c>
      <c r="O23" s="36">
        <v>10</v>
      </c>
      <c r="P23" s="14">
        <v>0.0001</v>
      </c>
      <c r="Q23" s="36">
        <v>3920</v>
      </c>
      <c r="R23" s="37">
        <v>0.0314</v>
      </c>
      <c r="S23" s="36">
        <v>811</v>
      </c>
      <c r="T23" s="14">
        <v>0.0065</v>
      </c>
      <c r="U23" s="30">
        <v>18829</v>
      </c>
      <c r="V23" s="14">
        <v>0.1508</v>
      </c>
      <c r="W23" s="14">
        <v>0.1519</v>
      </c>
      <c r="X23" s="30">
        <v>50313</v>
      </c>
      <c r="Y23" s="37">
        <v>0.4033</v>
      </c>
      <c r="Z23" s="20">
        <v>2636</v>
      </c>
      <c r="AA23" s="14">
        <v>0.0211</v>
      </c>
    </row>
    <row r="24" spans="1:27">
      <c r="A24" s="27">
        <v>46194</v>
      </c>
      <c r="B24" s="28" t="s">
        <v>34</v>
      </c>
      <c r="C24" s="20">
        <v>1762</v>
      </c>
      <c r="D24" s="29">
        <v>0.22</v>
      </c>
      <c r="E24" s="30">
        <v>105918</v>
      </c>
      <c r="F24" s="30">
        <v>8052</v>
      </c>
      <c r="G24" s="30">
        <v>135661</v>
      </c>
      <c r="H24" s="14">
        <v>0.013</v>
      </c>
      <c r="I24" s="14"/>
      <c r="J24" s="31">
        <v>17831</v>
      </c>
      <c r="K24" s="32">
        <v>7191.18</v>
      </c>
      <c r="L24" s="33">
        <v>1395</v>
      </c>
      <c r="M24" s="34">
        <v>19021.33</v>
      </c>
      <c r="N24" s="35">
        <v>19021.33</v>
      </c>
      <c r="O24" s="36">
        <v>0</v>
      </c>
      <c r="P24" s="14">
        <v>0</v>
      </c>
      <c r="Q24" s="36">
        <v>2241</v>
      </c>
      <c r="R24" s="14">
        <v>0.0165</v>
      </c>
      <c r="S24" s="36">
        <v>806</v>
      </c>
      <c r="T24" s="14">
        <v>0.0059</v>
      </c>
      <c r="U24" s="30">
        <v>11032</v>
      </c>
      <c r="V24" s="14">
        <v>0.0812</v>
      </c>
      <c r="W24" s="14">
        <v>0.0835</v>
      </c>
      <c r="X24" s="30">
        <v>82007</v>
      </c>
      <c r="Y24" s="37">
        <v>0.6045</v>
      </c>
      <c r="Z24" s="20">
        <v>1545</v>
      </c>
      <c r="AA24" s="14">
        <v>0.0114</v>
      </c>
    </row>
    <row r="25" spans="1:27">
      <c r="A25" s="27">
        <v>46195</v>
      </c>
      <c r="B25" s="28" t="s">
        <v>28</v>
      </c>
      <c r="C25" s="20">
        <v>704</v>
      </c>
      <c r="D25" s="29">
        <v>0.13</v>
      </c>
      <c r="E25" s="30">
        <v>49178</v>
      </c>
      <c r="F25" s="30">
        <v>5456</v>
      </c>
      <c r="G25" s="30">
        <v>82808</v>
      </c>
      <c r="H25" s="14">
        <v>0.0085</v>
      </c>
      <c r="I25" s="14">
        <v>0.5751</v>
      </c>
      <c r="J25" s="31">
        <v>13355</v>
      </c>
      <c r="K25" s="32">
        <v>1114.59</v>
      </c>
      <c r="L25" s="33">
        <v>2627</v>
      </c>
      <c r="M25" s="34">
        <v>11611.71</v>
      </c>
      <c r="N25" s="35">
        <v>11542.99</v>
      </c>
      <c r="O25" s="36">
        <v>50</v>
      </c>
      <c r="P25" s="14">
        <v>0.0006</v>
      </c>
      <c r="Q25" s="36">
        <v>2254</v>
      </c>
      <c r="R25" s="37">
        <v>0.0272</v>
      </c>
      <c r="S25" s="36">
        <v>819</v>
      </c>
      <c r="T25" s="14">
        <v>0.0099</v>
      </c>
      <c r="U25" s="30">
        <v>28480</v>
      </c>
      <c r="V25" s="37">
        <v>0.3436</v>
      </c>
      <c r="W25" s="14">
        <v>0.3468</v>
      </c>
      <c r="X25" s="30">
        <v>13291</v>
      </c>
      <c r="Y25" s="14">
        <v>0.1605</v>
      </c>
      <c r="Z25" s="20">
        <v>3987</v>
      </c>
      <c r="AA25" s="37">
        <v>0.0481</v>
      </c>
    </row>
    <row r="26" spans="1:27">
      <c r="A26" s="27">
        <v>46196</v>
      </c>
      <c r="B26" s="28" t="s">
        <v>29</v>
      </c>
      <c r="C26" s="20">
        <v>1529</v>
      </c>
      <c r="D26" s="29">
        <v>0.34</v>
      </c>
      <c r="E26" s="30">
        <v>38266</v>
      </c>
      <c r="F26" s="30">
        <v>4464</v>
      </c>
      <c r="G26" s="30">
        <v>62602</v>
      </c>
      <c r="H26" s="14">
        <v>0.0244</v>
      </c>
      <c r="I26" s="14">
        <v>0.5517</v>
      </c>
      <c r="J26" s="31">
        <v>10655</v>
      </c>
      <c r="K26" s="32">
        <v>814.04</v>
      </c>
      <c r="L26" s="33">
        <v>2626</v>
      </c>
      <c r="M26" s="34">
        <v>8763.78</v>
      </c>
      <c r="N26" s="35">
        <v>8713.96</v>
      </c>
      <c r="O26" s="36">
        <v>10</v>
      </c>
      <c r="P26" s="14">
        <v>0.0002</v>
      </c>
      <c r="Q26" s="36">
        <v>1653</v>
      </c>
      <c r="R26" s="37">
        <v>0.0264</v>
      </c>
      <c r="S26" s="36">
        <v>821</v>
      </c>
      <c r="T26" s="37">
        <v>0.0131</v>
      </c>
      <c r="U26" s="30">
        <v>20447</v>
      </c>
      <c r="V26" s="37">
        <v>0.3266</v>
      </c>
      <c r="W26" s="14">
        <v>0.3206</v>
      </c>
      <c r="X26" s="30">
        <v>8967</v>
      </c>
      <c r="Y26" s="14">
        <v>0.1432</v>
      </c>
      <c r="Z26" s="20">
        <v>2863</v>
      </c>
      <c r="AA26" s="37">
        <v>0.0457</v>
      </c>
    </row>
    <row r="27" spans="1:27">
      <c r="A27" s="27">
        <v>46197</v>
      </c>
      <c r="B27" s="28" t="s">
        <v>30</v>
      </c>
      <c r="C27" s="20">
        <v>1242</v>
      </c>
      <c r="D27" s="29">
        <v>0.3</v>
      </c>
      <c r="E27" s="38">
        <v>30886</v>
      </c>
      <c r="F27" s="30">
        <v>4192</v>
      </c>
      <c r="G27" s="30">
        <v>59337</v>
      </c>
      <c r="H27" s="14">
        <v>0.0209</v>
      </c>
      <c r="I27" s="14">
        <v>0.6202</v>
      </c>
      <c r="J27" s="31">
        <v>9907</v>
      </c>
      <c r="K27" s="32">
        <v>762.05</v>
      </c>
      <c r="L27" s="33">
        <v>2745</v>
      </c>
      <c r="M27" s="34">
        <v>8325.92</v>
      </c>
      <c r="N27" s="35">
        <v>8290.64</v>
      </c>
      <c r="O27" s="36">
        <v>30</v>
      </c>
      <c r="P27" s="14">
        <v>0.0005</v>
      </c>
      <c r="Q27" s="36">
        <v>1783</v>
      </c>
      <c r="R27" s="37">
        <v>0.03</v>
      </c>
      <c r="S27" s="36">
        <v>813</v>
      </c>
      <c r="T27" s="37">
        <v>0.0137</v>
      </c>
      <c r="U27" s="30">
        <v>20613</v>
      </c>
      <c r="V27" s="37">
        <v>0.3468</v>
      </c>
      <c r="W27" s="14">
        <v>0.3511</v>
      </c>
      <c r="X27" s="30">
        <v>8767</v>
      </c>
      <c r="Y27" s="14">
        <v>0.1477</v>
      </c>
      <c r="Z27" s="20">
        <v>2886</v>
      </c>
      <c r="AA27" s="37">
        <v>0.0485</v>
      </c>
    </row>
    <row r="28" spans="1:27">
      <c r="A28" s="27">
        <v>46198</v>
      </c>
      <c r="B28" s="28" t="s">
        <v>31</v>
      </c>
      <c r="C28" s="20">
        <v>1930</v>
      </c>
      <c r="D28" s="29">
        <v>0.46</v>
      </c>
      <c r="E28" s="30">
        <v>31844</v>
      </c>
      <c r="F28" s="30">
        <v>4182</v>
      </c>
      <c r="G28" s="30">
        <v>57235</v>
      </c>
      <c r="H28" s="14">
        <v>0.0337</v>
      </c>
      <c r="I28" s="14">
        <v>0.5998</v>
      </c>
      <c r="J28" s="31">
        <v>9912</v>
      </c>
      <c r="K28" s="32">
        <v>667.53</v>
      </c>
      <c r="L28" s="33">
        <v>2639</v>
      </c>
      <c r="M28" s="34">
        <v>8018.29</v>
      </c>
      <c r="N28" s="35">
        <v>7992.99</v>
      </c>
      <c r="O28" s="36">
        <v>20</v>
      </c>
      <c r="P28" s="14">
        <v>0.0003</v>
      </c>
      <c r="Q28" s="36">
        <v>1215</v>
      </c>
      <c r="R28" s="37">
        <v>0.0212</v>
      </c>
      <c r="S28" s="36">
        <v>823</v>
      </c>
      <c r="T28" s="37">
        <v>0.0144</v>
      </c>
      <c r="U28" s="30">
        <v>19237</v>
      </c>
      <c r="V28" s="37">
        <v>0.3359</v>
      </c>
      <c r="W28" s="14">
        <v>0.3326</v>
      </c>
      <c r="X28" s="30">
        <v>7241</v>
      </c>
      <c r="Y28" s="14">
        <v>0.1265</v>
      </c>
      <c r="Z28" s="20">
        <v>2693</v>
      </c>
      <c r="AA28" s="37">
        <v>0.047</v>
      </c>
    </row>
    <row r="29" spans="1:27">
      <c r="A29" s="27">
        <v>46199</v>
      </c>
      <c r="B29" s="28" t="s">
        <v>32</v>
      </c>
      <c r="C29" s="20">
        <v>1863</v>
      </c>
      <c r="D29" s="29">
        <v>0.3</v>
      </c>
      <c r="E29" s="30">
        <v>48256</v>
      </c>
      <c r="F29" s="30">
        <v>6170</v>
      </c>
      <c r="G29" s="30">
        <v>88763</v>
      </c>
      <c r="H29" s="14">
        <v>0.021</v>
      </c>
      <c r="I29" s="14">
        <v>0.6113</v>
      </c>
      <c r="J29" s="31">
        <v>13046</v>
      </c>
      <c r="K29" s="32">
        <v>2773.27</v>
      </c>
      <c r="L29" s="33">
        <v>2729</v>
      </c>
      <c r="M29" s="34">
        <v>12436.67</v>
      </c>
      <c r="N29" s="35">
        <v>12411.5</v>
      </c>
      <c r="O29" s="36">
        <v>30</v>
      </c>
      <c r="P29" s="14">
        <v>0.0003</v>
      </c>
      <c r="Q29" s="36">
        <v>1008</v>
      </c>
      <c r="R29" s="14">
        <v>0.0114</v>
      </c>
      <c r="S29" s="36">
        <v>1368</v>
      </c>
      <c r="T29" s="37">
        <v>0.0154</v>
      </c>
      <c r="U29" s="30">
        <v>24053</v>
      </c>
      <c r="V29" s="37">
        <v>0.2709</v>
      </c>
      <c r="W29" s="14">
        <v>0.2746</v>
      </c>
      <c r="X29" s="30">
        <v>29081</v>
      </c>
      <c r="Y29" s="37">
        <v>0.3276</v>
      </c>
      <c r="Z29" s="20">
        <v>3367</v>
      </c>
      <c r="AA29" s="37">
        <v>0.0379</v>
      </c>
    </row>
    <row r="30" spans="1:27">
      <c r="A30" s="27">
        <v>46200</v>
      </c>
      <c r="B30" s="28" t="s">
        <v>33</v>
      </c>
      <c r="C30" s="20">
        <v>2579</v>
      </c>
      <c r="D30" s="29">
        <v>0.4</v>
      </c>
      <c r="E30" s="30">
        <v>52635</v>
      </c>
      <c r="F30" s="30">
        <v>6431</v>
      </c>
      <c r="G30" s="30">
        <v>92361</v>
      </c>
      <c r="H30" s="14">
        <v>0.0279</v>
      </c>
      <c r="I30" s="14">
        <v>0.6197</v>
      </c>
      <c r="J30" s="31">
        <v>14899</v>
      </c>
      <c r="K30" s="32">
        <v>2287.23</v>
      </c>
      <c r="L30" s="33">
        <v>2675</v>
      </c>
      <c r="M30" s="34">
        <v>12929.06</v>
      </c>
      <c r="N30" s="35">
        <v>12902.68</v>
      </c>
      <c r="O30" s="36">
        <v>40</v>
      </c>
      <c r="P30" s="14">
        <v>0.0004</v>
      </c>
      <c r="Q30" s="36">
        <v>980</v>
      </c>
      <c r="R30" s="14">
        <v>0.0106</v>
      </c>
      <c r="S30" s="36">
        <v>1408</v>
      </c>
      <c r="T30" s="37">
        <v>0.0152</v>
      </c>
      <c r="U30" s="30">
        <v>23437</v>
      </c>
      <c r="V30" s="14">
        <v>0.2538</v>
      </c>
      <c r="W30" s="14">
        <v>0.2566</v>
      </c>
      <c r="X30" s="30">
        <v>23835</v>
      </c>
      <c r="Y30" s="14">
        <v>0.2581</v>
      </c>
      <c r="Z30" s="20">
        <v>3281</v>
      </c>
      <c r="AA30" s="14">
        <v>0.0355</v>
      </c>
    </row>
    <row r="31" spans="1:27">
      <c r="A31" s="27">
        <v>46201</v>
      </c>
      <c r="B31" s="28" t="s">
        <v>34</v>
      </c>
      <c r="C31" s="20">
        <v>2431</v>
      </c>
      <c r="D31" s="29">
        <v>0.44</v>
      </c>
      <c r="E31" s="30">
        <v>47096</v>
      </c>
      <c r="F31" s="30">
        <v>5552</v>
      </c>
      <c r="G31" s="30">
        <v>80224</v>
      </c>
      <c r="H31" s="14">
        <v>0.0302</v>
      </c>
      <c r="I31" s="14">
        <v>0.6267</v>
      </c>
      <c r="J31" s="31">
        <v>13483</v>
      </c>
      <c r="K31" s="32">
        <v>1668.88</v>
      </c>
      <c r="L31" s="33">
        <v>2721</v>
      </c>
      <c r="M31" s="34">
        <v>11266.97</v>
      </c>
      <c r="N31" s="35">
        <v>11219.93</v>
      </c>
      <c r="O31" s="36">
        <v>70</v>
      </c>
      <c r="P31" s="14">
        <v>0.0009</v>
      </c>
      <c r="Q31" s="36">
        <v>1526</v>
      </c>
      <c r="R31" s="14">
        <v>0.019</v>
      </c>
      <c r="S31" s="36">
        <v>994</v>
      </c>
      <c r="T31" s="37">
        <v>0.0124</v>
      </c>
      <c r="U31" s="30">
        <v>20299</v>
      </c>
      <c r="V31" s="14">
        <v>0.2523</v>
      </c>
      <c r="W31" s="14">
        <v>0.255</v>
      </c>
      <c r="X31" s="30">
        <v>16741</v>
      </c>
      <c r="Y31" s="14">
        <v>0.2087</v>
      </c>
      <c r="Z31" s="20">
        <v>2842</v>
      </c>
      <c r="AA31" s="14">
        <v>0.0353</v>
      </c>
    </row>
    <row r="32" spans="1:27">
      <c r="A32" s="27">
        <v>46202</v>
      </c>
      <c r="B32" s="28" t="s">
        <v>28</v>
      </c>
      <c r="C32" s="20">
        <v>1105</v>
      </c>
      <c r="D32" s="29">
        <v>0.24</v>
      </c>
      <c r="E32" s="30">
        <v>35874</v>
      </c>
      <c r="F32" s="30">
        <v>4658</v>
      </c>
      <c r="G32" s="30">
        <v>66676</v>
      </c>
      <c r="H32" s="14">
        <v>0.0166</v>
      </c>
      <c r="I32" s="14">
        <v>0.6164</v>
      </c>
      <c r="J32" s="31">
        <v>11108</v>
      </c>
      <c r="K32" s="32">
        <v>909.22</v>
      </c>
      <c r="L32" s="33">
        <v>2535</v>
      </c>
      <c r="M32" s="34">
        <v>9335.87</v>
      </c>
      <c r="N32" s="35">
        <v>9312.66</v>
      </c>
      <c r="O32" s="36">
        <v>20</v>
      </c>
      <c r="P32" s="14">
        <v>0.0003</v>
      </c>
      <c r="Q32" s="36">
        <v>1691</v>
      </c>
      <c r="R32" s="37">
        <v>0.0254</v>
      </c>
      <c r="S32" s="36">
        <v>1016</v>
      </c>
      <c r="T32" s="37">
        <v>0.0152</v>
      </c>
      <c r="U32" s="30">
        <v>22255</v>
      </c>
      <c r="V32" s="37">
        <v>0.3336</v>
      </c>
      <c r="W32" s="14">
        <v>0.3413</v>
      </c>
      <c r="X32" s="30">
        <v>10346</v>
      </c>
      <c r="Y32" s="14">
        <v>0.1552</v>
      </c>
      <c r="Z32" s="20">
        <v>3116</v>
      </c>
      <c r="AA32" s="37">
        <v>0.0467</v>
      </c>
    </row>
    <row r="33" spans="1:27">
      <c r="A33" s="27">
        <v>46203</v>
      </c>
      <c r="B33" s="28" t="s">
        <v>29</v>
      </c>
      <c r="C33" s="20">
        <v>2688</v>
      </c>
      <c r="D33" s="29">
        <v>0.58</v>
      </c>
      <c r="E33" s="30">
        <v>50802</v>
      </c>
      <c r="F33" s="30">
        <v>4663</v>
      </c>
      <c r="G33" s="30">
        <v>67027</v>
      </c>
      <c r="H33" s="14">
        <v>0.0401</v>
      </c>
      <c r="I33" s="14">
        <v>0.5257</v>
      </c>
      <c r="J33" s="31">
        <v>12518</v>
      </c>
      <c r="K33" s="32">
        <v>729.97</v>
      </c>
      <c r="L33" s="33">
        <v>2192</v>
      </c>
      <c r="M33" s="34">
        <v>9385.36</v>
      </c>
      <c r="N33" s="35">
        <v>9353.71</v>
      </c>
      <c r="O33" s="36">
        <v>30</v>
      </c>
      <c r="P33" s="14">
        <v>0.0004</v>
      </c>
      <c r="Q33" s="36">
        <v>987</v>
      </c>
      <c r="R33" s="14">
        <v>0.0147</v>
      </c>
      <c r="S33" s="36">
        <v>961</v>
      </c>
      <c r="T33" s="37">
        <v>0.0143</v>
      </c>
      <c r="U33" s="30">
        <v>16667</v>
      </c>
      <c r="V33" s="14">
        <v>0.2485</v>
      </c>
      <c r="W33" s="14">
        <v>0.2507</v>
      </c>
      <c r="X33" s="30">
        <v>8401</v>
      </c>
      <c r="Y33" s="14">
        <v>0.1253</v>
      </c>
      <c r="Z33" s="20">
        <v>2333</v>
      </c>
      <c r="AA33" s="14">
        <v>0.0348</v>
      </c>
    </row>
  </sheetData>
  <sheetProtection formatCells="0" formatColumns="0" formatRows="0" insertRows="0" insertColumns="0" insertHyperlinks="0" deleteColumns="0" deleteRows="0" sort="0" autoFilter="0" pivotTables="0"/>
  <mergeCells count="11">
    <mergeCell ref="A3:B3"/>
    <mergeCell ref="D2:D3"/>
    <mergeCell ref="H2:H3"/>
    <mergeCell ref="I2:I3"/>
    <mergeCell ref="P2:P3"/>
    <mergeCell ref="R2:R3"/>
    <mergeCell ref="T2:T3"/>
    <mergeCell ref="V2:V3"/>
    <mergeCell ref="W2:W3"/>
    <mergeCell ref="Y2:Y3"/>
    <mergeCell ref="AA2:AA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6月温州</vt:lpstr>
      <vt:lpstr>6月合肥</vt:lpstr>
      <vt:lpstr>6月芜湖</vt:lpstr>
      <vt:lpstr>6月赣州</vt:lpstr>
      <vt:lpstr>6月吉安</vt:lpstr>
      <vt:lpstr>6月上饶</vt:lpstr>
      <vt:lpstr>6月衡阳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97</cp:lastModifiedBy>
  <dcterms:created xsi:type="dcterms:W3CDTF">2026-07-01T13:44:00Z</dcterms:created>
  <dcterms:modified xsi:type="dcterms:W3CDTF">2026-07-01T05:45:40Z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1C6194321395AF6A53A9446A0B147909_41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